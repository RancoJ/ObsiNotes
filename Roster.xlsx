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hycheung\Downloads\"/>
    </mc:Choice>
  </mc:AlternateContent>
  <xr:revisionPtr revIDLastSave="0" documentId="13_ncr:1_{CA6187A3-BF97-4DBB-B3AB-60F58425A923}" xr6:coauthVersionLast="36" xr6:coauthVersionMax="47" xr10:uidLastSave="{00000000-0000-0000-0000-000000000000}"/>
  <bookViews>
    <workbookView xWindow="0" yWindow="0" windowWidth="17490" windowHeight="7935" activeTab="1" xr2:uid="{DE26B8D8-C8F2-4319-BA05-5C82832C22AC}"/>
  </bookViews>
  <sheets>
    <sheet name="Staff List" sheetId="1" r:id="rId1"/>
    <sheet name="Ros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C3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C2" i="2"/>
</calcChain>
</file>

<file path=xl/sharedStrings.xml><?xml version="1.0" encoding="utf-8"?>
<sst xmlns="http://schemas.openxmlformats.org/spreadsheetml/2006/main" count="397" uniqueCount="143">
  <si>
    <t>POST_CODE</t>
  </si>
  <si>
    <t>ENG_NAME</t>
  </si>
  <si>
    <t>CHN_NAME</t>
  </si>
  <si>
    <t>SEX</t>
  </si>
  <si>
    <t>PRO</t>
  </si>
  <si>
    <t>CHEUNG HOI YING</t>
  </si>
  <si>
    <t>張凱盈</t>
  </si>
  <si>
    <t>F</t>
  </si>
  <si>
    <t>DPRO</t>
  </si>
  <si>
    <t>LAU YUK FAI</t>
  </si>
  <si>
    <t>劉玉輝</t>
  </si>
  <si>
    <t>M</t>
  </si>
  <si>
    <t>TAM CHAK MAN JACKMAN</t>
  </si>
  <si>
    <t>譚澤民</t>
  </si>
  <si>
    <t>APRO(S)</t>
  </si>
  <si>
    <t>CHAN WING YI</t>
  </si>
  <si>
    <t>陳詠兒</t>
  </si>
  <si>
    <t>APRO(IT)</t>
  </si>
  <si>
    <t>CHUNG CHI SHING</t>
  </si>
  <si>
    <t>鍾志成</t>
  </si>
  <si>
    <t>APRO</t>
  </si>
  <si>
    <t>KWOK KIN FONG</t>
  </si>
  <si>
    <t>郭建芳</t>
  </si>
  <si>
    <t>LAU SHAO JAM</t>
  </si>
  <si>
    <t>劉紹栴</t>
  </si>
  <si>
    <t>LEE WING SUM</t>
  </si>
  <si>
    <t>李詠深</t>
  </si>
  <si>
    <t>NG KA MING</t>
  </si>
  <si>
    <t>吳嘉銘</t>
  </si>
  <si>
    <t>WONG SAU WAN</t>
  </si>
  <si>
    <t>黃秀雲</t>
  </si>
  <si>
    <t>PO(S)</t>
  </si>
  <si>
    <t>MUN SHUK CHING</t>
  </si>
  <si>
    <t>文淑貞</t>
  </si>
  <si>
    <t>PO</t>
  </si>
  <si>
    <t>CHAN CHUN MING</t>
  </si>
  <si>
    <t>陳俊銘</t>
  </si>
  <si>
    <t>CHIU KWUN MING</t>
  </si>
  <si>
    <t>趙冠銘</t>
  </si>
  <si>
    <t>FOK WAI LEONG</t>
  </si>
  <si>
    <t>霍偉亮</t>
  </si>
  <si>
    <t>FONG KWAI YING</t>
  </si>
  <si>
    <t>方桂英</t>
  </si>
  <si>
    <t>FUNG YUEN LING</t>
  </si>
  <si>
    <t>馮媛玲</t>
  </si>
  <si>
    <t>HO KA CHUN</t>
  </si>
  <si>
    <t>何嘉俊</t>
  </si>
  <si>
    <t>HO KIM LING</t>
  </si>
  <si>
    <t>何劍玲</t>
  </si>
  <si>
    <t>LAU CHUN WANG</t>
  </si>
  <si>
    <t>劉俊宏</t>
  </si>
  <si>
    <t>LAU KWOK WAI</t>
  </si>
  <si>
    <t>劉國偉</t>
  </si>
  <si>
    <t>LI PO MAN</t>
  </si>
  <si>
    <t>李寶汶</t>
  </si>
  <si>
    <t>LI YAT MING</t>
  </si>
  <si>
    <t>李逸明</t>
  </si>
  <si>
    <t>SHING PUI KIT STEVEN</t>
  </si>
  <si>
    <t>盛培傑</t>
  </si>
  <si>
    <t>WONG KA YAN</t>
  </si>
  <si>
    <t>黃家恩</t>
  </si>
  <si>
    <t>WONG SZE YUEN</t>
  </si>
  <si>
    <t>黃思遠</t>
  </si>
  <si>
    <t>YAU CHUN KIT</t>
  </si>
  <si>
    <t>游晉傑</t>
  </si>
  <si>
    <t>YAU CHUN WAI</t>
  </si>
  <si>
    <t>游晉偉</t>
  </si>
  <si>
    <t>YEUNG SZE MAN</t>
  </si>
  <si>
    <t>楊詩敏</t>
  </si>
  <si>
    <t>PA</t>
  </si>
  <si>
    <t>CHAN YUEN LING</t>
  </si>
  <si>
    <t>陳婉玲</t>
  </si>
  <si>
    <t>CHEN JINFENG</t>
  </si>
  <si>
    <t>陳金鳳</t>
  </si>
  <si>
    <t>HUNG LEE LEE</t>
  </si>
  <si>
    <t>洪莉莉</t>
  </si>
  <si>
    <t>LEUNG YAN LING</t>
  </si>
  <si>
    <t>梁茵綾</t>
  </si>
  <si>
    <t>TSANG MAN FUNG</t>
  </si>
  <si>
    <t>曾文鋒</t>
  </si>
  <si>
    <t>YEUNG WAI FONG</t>
  </si>
  <si>
    <t>楊惠芳</t>
  </si>
  <si>
    <t>ZHANG XIUYU</t>
  </si>
  <si>
    <t>張秀玉</t>
  </si>
  <si>
    <t>NO.</t>
  </si>
  <si>
    <t>Break</t>
  </si>
  <si>
    <t>MC</t>
  </si>
  <si>
    <t>FC</t>
  </si>
  <si>
    <t>Ballot
(Station)</t>
  </si>
  <si>
    <t>Ballot
(Police)</t>
  </si>
  <si>
    <t>DPRO1</t>
  </si>
  <si>
    <t>DPRO2</t>
  </si>
  <si>
    <t>APROS</t>
  </si>
  <si>
    <t>APROIT</t>
  </si>
  <si>
    <t>APRO1</t>
  </si>
  <si>
    <t>APRO2</t>
  </si>
  <si>
    <t>APRO3</t>
  </si>
  <si>
    <t>APRO4</t>
  </si>
  <si>
    <t>APRO5</t>
  </si>
  <si>
    <t>PO1</t>
  </si>
  <si>
    <t>PO2</t>
  </si>
  <si>
    <t>PO3</t>
  </si>
  <si>
    <t>POC</t>
  </si>
  <si>
    <t>PO4</t>
  </si>
  <si>
    <t>PO5</t>
  </si>
  <si>
    <t>PO6</t>
  </si>
  <si>
    <t>PO7</t>
  </si>
  <si>
    <t>PA1</t>
  </si>
  <si>
    <t>PA2</t>
  </si>
  <si>
    <t>POS</t>
  </si>
  <si>
    <t>PO8</t>
  </si>
  <si>
    <t>PO9</t>
  </si>
  <si>
    <t>PO10</t>
  </si>
  <si>
    <t>PO11</t>
  </si>
  <si>
    <t>PO12</t>
  </si>
  <si>
    <t>PO13</t>
  </si>
  <si>
    <t>PO14</t>
  </si>
  <si>
    <t>PO15</t>
  </si>
  <si>
    <t>PO16</t>
  </si>
  <si>
    <t>PO10</t>
    <phoneticPr fontId="5" type="noConversion"/>
  </si>
  <si>
    <t>PO8</t>
    <phoneticPr fontId="5" type="noConversion"/>
  </si>
  <si>
    <t>P10</t>
    <phoneticPr fontId="5" type="noConversion"/>
  </si>
  <si>
    <t>PO16</t>
    <phoneticPr fontId="5" type="noConversion"/>
  </si>
  <si>
    <t>PO7</t>
    <phoneticPr fontId="5" type="noConversion"/>
  </si>
  <si>
    <t>PO9</t>
    <phoneticPr fontId="5" type="noConversion"/>
  </si>
  <si>
    <t>PO12</t>
    <phoneticPr fontId="5" type="noConversion"/>
  </si>
  <si>
    <t>PO13</t>
    <phoneticPr fontId="5" type="noConversion"/>
  </si>
  <si>
    <t>PO11</t>
    <phoneticPr fontId="5" type="noConversion"/>
  </si>
  <si>
    <t>PO14</t>
    <phoneticPr fontId="5" type="noConversion"/>
  </si>
  <si>
    <t>PO15</t>
    <phoneticPr fontId="5" type="noConversion"/>
  </si>
  <si>
    <t>PA3</t>
    <phoneticPr fontId="5" type="noConversion"/>
  </si>
  <si>
    <t>PA4</t>
    <phoneticPr fontId="5" type="noConversion"/>
  </si>
  <si>
    <t>PA5</t>
    <phoneticPr fontId="5" type="noConversion"/>
  </si>
  <si>
    <t>PA6</t>
    <phoneticPr fontId="5" type="noConversion"/>
  </si>
  <si>
    <t>PA7</t>
    <phoneticPr fontId="5" type="noConversion"/>
  </si>
  <si>
    <t>PA2</t>
    <phoneticPr fontId="5" type="noConversion"/>
  </si>
  <si>
    <t>Break</t>
    <phoneticPr fontId="5" type="noConversion"/>
  </si>
  <si>
    <t>PA3</t>
  </si>
  <si>
    <t>PA4</t>
  </si>
  <si>
    <t>PA7</t>
  </si>
  <si>
    <t>Ballot
(Back-up)</t>
  </si>
  <si>
    <t>MC
(Back-up)</t>
  </si>
  <si>
    <t>FC
(Back-up)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</si>
</sst>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00B050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rgb="FF0070C0"/>
      <name val="Calibri"/>
      <family val="1"/>
      <scheme val="minor"/>
    </font>
    <font>
      <sz val="12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/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1" xfId="1" applyFont="1" applyFill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4" fillId="2" borderId="1" xfId="1" applyFont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7" xfId="1" applyFont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3" fillId="0" borderId="10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2">
    <cellStyle name="一般" xfId="0" builtinId="0"/>
    <cellStyle name="備註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D73D-6DCB-45FD-9F9E-B51639ECB84C}">
  <dimension ref="A1:E36"/>
  <sheetViews>
    <sheetView workbookViewId="0">
      <selection activeCell="H9" sqref="H9"/>
    </sheetView>
  </sheetViews>
  <sheetFormatPr defaultRowHeight="15.75"/>
  <cols>
    <col min="1" max="1" width="4" bestFit="1" customWidth="1"/>
    <col min="2" max="2" width="10.875" bestFit="1" customWidth="1"/>
    <col min="3" max="3" width="22.875" bestFit="1" customWidth="1"/>
    <col min="4" max="4" width="10.5" bestFit="1" customWidth="1"/>
    <col min="5" max="5" width="3.75" bestFit="1" customWidth="1"/>
  </cols>
  <sheetData>
    <row r="1" spans="1:5">
      <c r="A1" t="s">
        <v>84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 t="s">
        <v>4</v>
      </c>
      <c r="C2" t="s">
        <v>5</v>
      </c>
      <c r="D2" t="s">
        <v>6</v>
      </c>
      <c r="E2" t="s">
        <v>7</v>
      </c>
    </row>
    <row r="3" spans="1:5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>
      <c r="A4">
        <v>3</v>
      </c>
      <c r="B4" t="s">
        <v>8</v>
      </c>
      <c r="C4" t="s">
        <v>12</v>
      </c>
      <c r="D4" t="s">
        <v>13</v>
      </c>
      <c r="E4" t="s">
        <v>11</v>
      </c>
    </row>
    <row r="5" spans="1:5">
      <c r="A5">
        <v>4</v>
      </c>
      <c r="B5" t="s">
        <v>14</v>
      </c>
      <c r="C5" t="s">
        <v>15</v>
      </c>
      <c r="D5" t="s">
        <v>16</v>
      </c>
      <c r="E5" t="s">
        <v>7</v>
      </c>
    </row>
    <row r="6" spans="1:5">
      <c r="A6">
        <v>5</v>
      </c>
      <c r="B6" t="s">
        <v>17</v>
      </c>
      <c r="C6" t="s">
        <v>18</v>
      </c>
      <c r="D6" t="s">
        <v>19</v>
      </c>
      <c r="E6" t="s">
        <v>11</v>
      </c>
    </row>
    <row r="7" spans="1:5">
      <c r="A7">
        <v>6</v>
      </c>
      <c r="B7" t="s">
        <v>20</v>
      </c>
      <c r="C7" t="s">
        <v>21</v>
      </c>
      <c r="D7" t="s">
        <v>22</v>
      </c>
      <c r="E7" t="s">
        <v>7</v>
      </c>
    </row>
    <row r="8" spans="1:5">
      <c r="A8">
        <v>7</v>
      </c>
      <c r="B8" t="s">
        <v>20</v>
      </c>
      <c r="C8" t="s">
        <v>23</v>
      </c>
      <c r="D8" t="s">
        <v>24</v>
      </c>
      <c r="E8" t="s">
        <v>11</v>
      </c>
    </row>
    <row r="9" spans="1:5">
      <c r="A9">
        <v>8</v>
      </c>
      <c r="B9" t="s">
        <v>20</v>
      </c>
      <c r="C9" t="s">
        <v>25</v>
      </c>
      <c r="D9" t="s">
        <v>26</v>
      </c>
      <c r="E9" t="s">
        <v>11</v>
      </c>
    </row>
    <row r="10" spans="1:5">
      <c r="A10">
        <v>9</v>
      </c>
      <c r="B10" t="s">
        <v>20</v>
      </c>
      <c r="C10" t="s">
        <v>27</v>
      </c>
      <c r="D10" t="s">
        <v>28</v>
      </c>
      <c r="E10" t="s">
        <v>11</v>
      </c>
    </row>
    <row r="11" spans="1:5">
      <c r="A11">
        <v>10</v>
      </c>
      <c r="B11" t="s">
        <v>20</v>
      </c>
      <c r="C11" t="s">
        <v>29</v>
      </c>
      <c r="D11" t="s">
        <v>30</v>
      </c>
      <c r="E11" t="s">
        <v>7</v>
      </c>
    </row>
    <row r="12" spans="1:5">
      <c r="A12">
        <v>11</v>
      </c>
      <c r="B12" t="s">
        <v>31</v>
      </c>
      <c r="C12" t="s">
        <v>32</v>
      </c>
      <c r="D12" t="s">
        <v>33</v>
      </c>
      <c r="E12" t="s">
        <v>7</v>
      </c>
    </row>
    <row r="13" spans="1:5">
      <c r="A13">
        <v>12</v>
      </c>
      <c r="B13" t="s">
        <v>34</v>
      </c>
      <c r="C13" t="s">
        <v>35</v>
      </c>
      <c r="D13" t="s">
        <v>36</v>
      </c>
      <c r="E13" t="s">
        <v>11</v>
      </c>
    </row>
    <row r="14" spans="1:5">
      <c r="A14">
        <v>13</v>
      </c>
      <c r="B14" t="s">
        <v>34</v>
      </c>
      <c r="C14" t="s">
        <v>37</v>
      </c>
      <c r="D14" t="s">
        <v>38</v>
      </c>
      <c r="E14" t="s">
        <v>11</v>
      </c>
    </row>
    <row r="15" spans="1:5">
      <c r="A15">
        <v>14</v>
      </c>
      <c r="B15" t="s">
        <v>34</v>
      </c>
      <c r="C15" t="s">
        <v>39</v>
      </c>
      <c r="D15" t="s">
        <v>40</v>
      </c>
      <c r="E15" t="s">
        <v>11</v>
      </c>
    </row>
    <row r="16" spans="1:5">
      <c r="A16">
        <v>15</v>
      </c>
      <c r="B16" t="s">
        <v>34</v>
      </c>
      <c r="C16" t="s">
        <v>41</v>
      </c>
      <c r="D16" t="s">
        <v>42</v>
      </c>
      <c r="E16" t="s">
        <v>7</v>
      </c>
    </row>
    <row r="17" spans="1:5">
      <c r="A17">
        <v>16</v>
      </c>
      <c r="B17" t="s">
        <v>34</v>
      </c>
      <c r="C17" t="s">
        <v>43</v>
      </c>
      <c r="D17" t="s">
        <v>44</v>
      </c>
      <c r="E17" t="s">
        <v>7</v>
      </c>
    </row>
    <row r="18" spans="1:5">
      <c r="A18">
        <v>17</v>
      </c>
      <c r="B18" t="s">
        <v>34</v>
      </c>
      <c r="C18" t="s">
        <v>45</v>
      </c>
      <c r="D18" t="s">
        <v>46</v>
      </c>
      <c r="E18" t="s">
        <v>11</v>
      </c>
    </row>
    <row r="19" spans="1:5">
      <c r="A19">
        <v>18</v>
      </c>
      <c r="B19" t="s">
        <v>34</v>
      </c>
      <c r="C19" t="s">
        <v>47</v>
      </c>
      <c r="D19" t="s">
        <v>48</v>
      </c>
      <c r="E19" t="s">
        <v>7</v>
      </c>
    </row>
    <row r="20" spans="1:5">
      <c r="A20">
        <v>19</v>
      </c>
      <c r="B20" t="s">
        <v>34</v>
      </c>
      <c r="C20" t="s">
        <v>49</v>
      </c>
      <c r="D20" t="s">
        <v>50</v>
      </c>
      <c r="E20" t="s">
        <v>11</v>
      </c>
    </row>
    <row r="21" spans="1:5">
      <c r="A21">
        <v>20</v>
      </c>
      <c r="B21" t="s">
        <v>34</v>
      </c>
      <c r="C21" t="s">
        <v>51</v>
      </c>
      <c r="D21" t="s">
        <v>52</v>
      </c>
      <c r="E21" t="s">
        <v>11</v>
      </c>
    </row>
    <row r="22" spans="1:5">
      <c r="A22">
        <v>21</v>
      </c>
      <c r="B22" t="s">
        <v>34</v>
      </c>
      <c r="C22" t="s">
        <v>53</v>
      </c>
      <c r="D22" t="s">
        <v>54</v>
      </c>
      <c r="E22" t="s">
        <v>7</v>
      </c>
    </row>
    <row r="23" spans="1:5">
      <c r="A23">
        <v>22</v>
      </c>
      <c r="B23" t="s">
        <v>34</v>
      </c>
      <c r="C23" t="s">
        <v>55</v>
      </c>
      <c r="D23" t="s">
        <v>56</v>
      </c>
      <c r="E23" t="s">
        <v>11</v>
      </c>
    </row>
    <row r="24" spans="1:5">
      <c r="A24">
        <v>23</v>
      </c>
      <c r="B24" t="s">
        <v>34</v>
      </c>
      <c r="C24" t="s">
        <v>57</v>
      </c>
      <c r="D24" t="s">
        <v>58</v>
      </c>
      <c r="E24" t="s">
        <v>11</v>
      </c>
    </row>
    <row r="25" spans="1:5">
      <c r="A25">
        <v>24</v>
      </c>
      <c r="B25" t="s">
        <v>34</v>
      </c>
      <c r="C25" t="s">
        <v>59</v>
      </c>
      <c r="D25" t="s">
        <v>60</v>
      </c>
      <c r="E25" t="s">
        <v>11</v>
      </c>
    </row>
    <row r="26" spans="1:5">
      <c r="A26">
        <v>25</v>
      </c>
      <c r="B26" t="s">
        <v>34</v>
      </c>
      <c r="C26" t="s">
        <v>61</v>
      </c>
      <c r="D26" t="s">
        <v>62</v>
      </c>
      <c r="E26" t="s">
        <v>11</v>
      </c>
    </row>
    <row r="27" spans="1:5">
      <c r="A27">
        <v>26</v>
      </c>
      <c r="B27" t="s">
        <v>34</v>
      </c>
      <c r="C27" t="s">
        <v>63</v>
      </c>
      <c r="D27" t="s">
        <v>64</v>
      </c>
      <c r="E27" t="s">
        <v>11</v>
      </c>
    </row>
    <row r="28" spans="1:5">
      <c r="A28">
        <v>27</v>
      </c>
      <c r="B28" t="s">
        <v>34</v>
      </c>
      <c r="C28" t="s">
        <v>65</v>
      </c>
      <c r="D28" t="s">
        <v>66</v>
      </c>
      <c r="E28" t="s">
        <v>11</v>
      </c>
    </row>
    <row r="29" spans="1:5">
      <c r="A29">
        <v>28</v>
      </c>
      <c r="B29" t="s">
        <v>34</v>
      </c>
      <c r="C29" t="s">
        <v>67</v>
      </c>
      <c r="D29" t="s">
        <v>68</v>
      </c>
      <c r="E29" t="s">
        <v>7</v>
      </c>
    </row>
    <row r="30" spans="1:5">
      <c r="A30">
        <v>29</v>
      </c>
      <c r="B30" t="s">
        <v>69</v>
      </c>
      <c r="C30" t="s">
        <v>70</v>
      </c>
      <c r="D30" t="s">
        <v>71</v>
      </c>
      <c r="E30" t="s">
        <v>7</v>
      </c>
    </row>
    <row r="31" spans="1:5">
      <c r="A31">
        <v>30</v>
      </c>
      <c r="B31" t="s">
        <v>69</v>
      </c>
      <c r="C31" t="s">
        <v>72</v>
      </c>
      <c r="D31" t="s">
        <v>73</v>
      </c>
      <c r="E31" t="s">
        <v>7</v>
      </c>
    </row>
    <row r="32" spans="1:5">
      <c r="A32">
        <v>31</v>
      </c>
      <c r="B32" t="s">
        <v>69</v>
      </c>
      <c r="C32" t="s">
        <v>74</v>
      </c>
      <c r="D32" t="s">
        <v>75</v>
      </c>
      <c r="E32" t="s">
        <v>7</v>
      </c>
    </row>
    <row r="33" spans="1:5">
      <c r="A33">
        <v>32</v>
      </c>
      <c r="B33" t="s">
        <v>69</v>
      </c>
      <c r="C33" t="s">
        <v>76</v>
      </c>
      <c r="D33" t="s">
        <v>77</v>
      </c>
      <c r="E33" t="s">
        <v>7</v>
      </c>
    </row>
    <row r="34" spans="1:5">
      <c r="A34">
        <v>33</v>
      </c>
      <c r="B34" t="s">
        <v>69</v>
      </c>
      <c r="C34" t="s">
        <v>78</v>
      </c>
      <c r="D34" t="s">
        <v>79</v>
      </c>
      <c r="E34" t="s">
        <v>11</v>
      </c>
    </row>
    <row r="35" spans="1:5">
      <c r="A35">
        <v>34</v>
      </c>
      <c r="B35" t="s">
        <v>69</v>
      </c>
      <c r="C35" t="s">
        <v>80</v>
      </c>
      <c r="D35" t="s">
        <v>81</v>
      </c>
      <c r="E35" t="s">
        <v>7</v>
      </c>
    </row>
    <row r="36" spans="1:5">
      <c r="A36">
        <v>35</v>
      </c>
      <c r="B36" t="s">
        <v>69</v>
      </c>
      <c r="C36" t="s">
        <v>82</v>
      </c>
      <c r="D36" t="s">
        <v>83</v>
      </c>
      <c r="E36" t="s">
        <v>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5E13-9A14-4FED-B3CF-CFE373D36F9A}">
  <dimension ref="A1:AK36"/>
  <sheetViews>
    <sheetView tabSelected="1" zoomScale="85" zoomScaleNormal="85" workbookViewId="0">
      <pane xSplit="2" ySplit="3" topLeftCell="C4" activePane="bottomRight" state="frozen"/>
      <selection pane="topRight" activeCell="D1" sqref="D1"/>
      <selection pane="bottomLeft" activeCell="A5" sqref="A5"/>
      <selection pane="bottomRight" activeCell="J39" sqref="J39"/>
    </sheetView>
  </sheetViews>
  <sheetFormatPr defaultRowHeight="15.75"/>
  <cols>
    <col min="1" max="12" width="9" style="1"/>
    <col min="13" max="37" width="9" style="1" customWidth="1"/>
    <col min="38" max="16384" width="9" style="1"/>
  </cols>
  <sheetData>
    <row r="1" spans="1:37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</row>
    <row r="2" spans="1:37">
      <c r="C2" s="1" t="str">
        <f>VLOOKUP(C1,'Staff List'!$A$2:$E$36,2,FALSE)</f>
        <v>PRO</v>
      </c>
      <c r="D2" s="1" t="str">
        <f>VLOOKUP(D1,'Staff List'!$A$2:$E$36,2,FALSE)</f>
        <v>DPRO</v>
      </c>
      <c r="E2" s="1" t="str">
        <f>VLOOKUP(E1,'Staff List'!$A$2:$E$36,2,FALSE)</f>
        <v>DPRO</v>
      </c>
      <c r="F2" s="1" t="str">
        <f>VLOOKUP(F1,'Staff List'!$A$2:$E$36,2,FALSE)</f>
        <v>APRO(S)</v>
      </c>
      <c r="G2" s="1" t="str">
        <f>VLOOKUP(G1,'Staff List'!$A$2:$E$36,2,FALSE)</f>
        <v>APRO(IT)</v>
      </c>
      <c r="H2" s="1" t="str">
        <f>VLOOKUP(H1,'Staff List'!$A$2:$E$36,2,FALSE)</f>
        <v>APRO</v>
      </c>
      <c r="I2" s="1" t="str">
        <f>VLOOKUP(I1,'Staff List'!$A$2:$E$36,2,FALSE)</f>
        <v>APRO</v>
      </c>
      <c r="J2" s="1" t="str">
        <f>VLOOKUP(J1,'Staff List'!$A$2:$E$36,2,FALSE)</f>
        <v>APRO</v>
      </c>
      <c r="K2" s="1" t="str">
        <f>VLOOKUP(K1,'Staff List'!$A$2:$E$36,2,FALSE)</f>
        <v>APRO</v>
      </c>
      <c r="L2" s="1" t="str">
        <f>VLOOKUP(L1,'Staff List'!$A$2:$E$36,2,FALSE)</f>
        <v>APRO</v>
      </c>
      <c r="M2" s="1" t="str">
        <f>VLOOKUP(M1,'Staff List'!$A$2:$E$36,2,FALSE)</f>
        <v>PO(S)</v>
      </c>
      <c r="N2" s="1" t="str">
        <f>VLOOKUP(N1,'Staff List'!$A$2:$E$36,2,FALSE)</f>
        <v>PO</v>
      </c>
      <c r="O2" s="1" t="str">
        <f>VLOOKUP(O1,'Staff List'!$A$2:$E$36,2,FALSE)</f>
        <v>PO</v>
      </c>
      <c r="P2" s="1" t="str">
        <f>VLOOKUP(P1,'Staff List'!$A$2:$E$36,2,FALSE)</f>
        <v>PO</v>
      </c>
      <c r="Q2" s="1" t="str">
        <f>VLOOKUP(Q1,'Staff List'!$A$2:$E$36,2,FALSE)</f>
        <v>PO</v>
      </c>
      <c r="R2" s="1" t="str">
        <f>VLOOKUP(R1,'Staff List'!$A$2:$E$36,2,FALSE)</f>
        <v>PO</v>
      </c>
      <c r="S2" s="1" t="str">
        <f>VLOOKUP(S1,'Staff List'!$A$2:$E$36,2,FALSE)</f>
        <v>PO</v>
      </c>
      <c r="T2" s="1" t="str">
        <f>VLOOKUP(T1,'Staff List'!$A$2:$E$36,2,FALSE)</f>
        <v>PO</v>
      </c>
      <c r="U2" s="1" t="str">
        <f>VLOOKUP(U1,'Staff List'!$A$2:$E$36,2,FALSE)</f>
        <v>PO</v>
      </c>
      <c r="V2" s="1" t="str">
        <f>VLOOKUP(V1,'Staff List'!$A$2:$E$36,2,FALSE)</f>
        <v>PO</v>
      </c>
      <c r="W2" s="1" t="str">
        <f>VLOOKUP(W1,'Staff List'!$A$2:$E$36,2,FALSE)</f>
        <v>PO</v>
      </c>
      <c r="X2" s="1" t="str">
        <f>VLOOKUP(X1,'Staff List'!$A$2:$E$36,2,FALSE)</f>
        <v>PO</v>
      </c>
      <c r="Y2" s="1" t="str">
        <f>VLOOKUP(Y1,'Staff List'!$A$2:$E$36,2,FALSE)</f>
        <v>PO</v>
      </c>
      <c r="Z2" s="1" t="str">
        <f>VLOOKUP(Z1,'Staff List'!$A$2:$E$36,2,FALSE)</f>
        <v>PO</v>
      </c>
      <c r="AA2" s="1" t="str">
        <f>VLOOKUP(AA1,'Staff List'!$A$2:$E$36,2,FALSE)</f>
        <v>PO</v>
      </c>
      <c r="AB2" s="1" t="str">
        <f>VLOOKUP(AB1,'Staff List'!$A$2:$E$36,2,FALSE)</f>
        <v>PO</v>
      </c>
      <c r="AC2" s="1" t="str">
        <f>VLOOKUP(AC1,'Staff List'!$A$2:$E$36,2,FALSE)</f>
        <v>PO</v>
      </c>
      <c r="AD2" s="1" t="str">
        <f>VLOOKUP(AD1,'Staff List'!$A$2:$E$36,2,FALSE)</f>
        <v>PO</v>
      </c>
      <c r="AE2" s="1" t="str">
        <f>VLOOKUP(AE1,'Staff List'!$A$2:$E$36,2,FALSE)</f>
        <v>PA</v>
      </c>
      <c r="AF2" s="1" t="str">
        <f>VLOOKUP(AF1,'Staff List'!$A$2:$E$36,2,FALSE)</f>
        <v>PA</v>
      </c>
      <c r="AG2" s="1" t="str">
        <f>VLOOKUP(AG1,'Staff List'!$A$2:$E$36,2,FALSE)</f>
        <v>PA</v>
      </c>
      <c r="AH2" s="1" t="str">
        <f>VLOOKUP(AH1,'Staff List'!$A$2:$E$36,2,FALSE)</f>
        <v>PA</v>
      </c>
      <c r="AI2" s="1" t="str">
        <f>VLOOKUP(AI1,'Staff List'!$A$2:$E$36,2,FALSE)</f>
        <v>PA</v>
      </c>
      <c r="AJ2" s="1" t="str">
        <f>VLOOKUP(AJ1,'Staff List'!$A$2:$E$36,2,FALSE)</f>
        <v>PA</v>
      </c>
      <c r="AK2" s="1" t="str">
        <f>VLOOKUP(AK1,'Staff List'!$A$2:$E$36,2,FALSE)</f>
        <v>PA</v>
      </c>
    </row>
    <row r="3" spans="1:37">
      <c r="C3" s="1" t="str">
        <f>VLOOKUP(C1,'Staff List'!$A$2:$E$36,4,FALSE)</f>
        <v>張凱盈</v>
      </c>
      <c r="D3" s="1" t="str">
        <f>VLOOKUP(D1,'Staff List'!$A$2:$E$36,4,FALSE)</f>
        <v>劉玉輝</v>
      </c>
      <c r="E3" s="1" t="str">
        <f>VLOOKUP(E1,'Staff List'!$A$2:$E$36,4,FALSE)</f>
        <v>譚澤民</v>
      </c>
      <c r="F3" s="1" t="str">
        <f>VLOOKUP(F1,'Staff List'!$A$2:$E$36,4,FALSE)</f>
        <v>陳詠兒</v>
      </c>
      <c r="G3" s="1" t="str">
        <f>VLOOKUP(G1,'Staff List'!$A$2:$E$36,4,FALSE)</f>
        <v>鍾志成</v>
      </c>
      <c r="H3" s="1" t="str">
        <f>VLOOKUP(H1,'Staff List'!$A$2:$E$36,4,FALSE)</f>
        <v>郭建芳</v>
      </c>
      <c r="I3" s="1" t="str">
        <f>VLOOKUP(I1,'Staff List'!$A$2:$E$36,4,FALSE)</f>
        <v>劉紹栴</v>
      </c>
      <c r="J3" s="1" t="str">
        <f>VLOOKUP(J1,'Staff List'!$A$2:$E$36,4,FALSE)</f>
        <v>李詠深</v>
      </c>
      <c r="K3" s="1" t="str">
        <f>VLOOKUP(K1,'Staff List'!$A$2:$E$36,4,FALSE)</f>
        <v>吳嘉銘</v>
      </c>
      <c r="L3" s="1" t="str">
        <f>VLOOKUP(L1,'Staff List'!$A$2:$E$36,4,FALSE)</f>
        <v>黃秀雲</v>
      </c>
      <c r="M3" s="1" t="str">
        <f>VLOOKUP(M1,'Staff List'!$A$2:$E$36,4,FALSE)</f>
        <v>文淑貞</v>
      </c>
      <c r="N3" s="1" t="str">
        <f>VLOOKUP(N1,'Staff List'!$A$2:$E$36,4,FALSE)</f>
        <v>陳俊銘</v>
      </c>
      <c r="O3" s="1" t="str">
        <f>VLOOKUP(O1,'Staff List'!$A$2:$E$36,4,FALSE)</f>
        <v>趙冠銘</v>
      </c>
      <c r="P3" s="1" t="str">
        <f>VLOOKUP(P1,'Staff List'!$A$2:$E$36,4,FALSE)</f>
        <v>霍偉亮</v>
      </c>
      <c r="Q3" s="1" t="str">
        <f>VLOOKUP(Q1,'Staff List'!$A$2:$E$36,4,FALSE)</f>
        <v>方桂英</v>
      </c>
      <c r="R3" s="1" t="str">
        <f>VLOOKUP(R1,'Staff List'!$A$2:$E$36,4,FALSE)</f>
        <v>馮媛玲</v>
      </c>
      <c r="S3" s="1" t="str">
        <f>VLOOKUP(S1,'Staff List'!$A$2:$E$36,4,FALSE)</f>
        <v>何嘉俊</v>
      </c>
      <c r="T3" s="1" t="str">
        <f>VLOOKUP(T1,'Staff List'!$A$2:$E$36,4,FALSE)</f>
        <v>何劍玲</v>
      </c>
      <c r="U3" s="1" t="str">
        <f>VLOOKUP(U1,'Staff List'!$A$2:$E$36,4,FALSE)</f>
        <v>劉俊宏</v>
      </c>
      <c r="V3" s="1" t="str">
        <f>VLOOKUP(V1,'Staff List'!$A$2:$E$36,4,FALSE)</f>
        <v>劉國偉</v>
      </c>
      <c r="W3" s="1" t="str">
        <f>VLOOKUP(W1,'Staff List'!$A$2:$E$36,4,FALSE)</f>
        <v>李寶汶</v>
      </c>
      <c r="X3" s="1" t="str">
        <f>VLOOKUP(X1,'Staff List'!$A$2:$E$36,4,FALSE)</f>
        <v>李逸明</v>
      </c>
      <c r="Y3" s="1" t="str">
        <f>VLOOKUP(Y1,'Staff List'!$A$2:$E$36,4,FALSE)</f>
        <v>盛培傑</v>
      </c>
      <c r="Z3" s="1" t="str">
        <f>VLOOKUP(Z1,'Staff List'!$A$2:$E$36,4,FALSE)</f>
        <v>黃家恩</v>
      </c>
      <c r="AA3" s="1" t="str">
        <f>VLOOKUP(AA1,'Staff List'!$A$2:$E$36,4,FALSE)</f>
        <v>黃思遠</v>
      </c>
      <c r="AB3" s="1" t="str">
        <f>VLOOKUP(AB1,'Staff List'!$A$2:$E$36,4,FALSE)</f>
        <v>游晉傑</v>
      </c>
      <c r="AC3" s="1" t="str">
        <f>VLOOKUP(AC1,'Staff List'!$A$2:$E$36,4,FALSE)</f>
        <v>游晉偉</v>
      </c>
      <c r="AD3" s="1" t="str">
        <f>VLOOKUP(AD1,'Staff List'!$A$2:$E$36,4,FALSE)</f>
        <v>楊詩敏</v>
      </c>
      <c r="AE3" s="1" t="str">
        <f>VLOOKUP(AE1,'Staff List'!$A$2:$E$36,4,FALSE)</f>
        <v>陳婉玲</v>
      </c>
      <c r="AF3" s="1" t="str">
        <f>VLOOKUP(AF1,'Staff List'!$A$2:$E$36,4,FALSE)</f>
        <v>陳金鳳</v>
      </c>
      <c r="AG3" s="1" t="str">
        <f>VLOOKUP(AG1,'Staff List'!$A$2:$E$36,4,FALSE)</f>
        <v>洪莉莉</v>
      </c>
      <c r="AH3" s="1" t="str">
        <f>VLOOKUP(AH1,'Staff List'!$A$2:$E$36,4,FALSE)</f>
        <v>梁茵綾</v>
      </c>
      <c r="AI3" s="1" t="str">
        <f>VLOOKUP(AI1,'Staff List'!$A$2:$E$36,4,FALSE)</f>
        <v>曾文鋒</v>
      </c>
      <c r="AJ3" s="1" t="str">
        <f>VLOOKUP(AJ1,'Staff List'!$A$2:$E$36,4,FALSE)</f>
        <v>楊惠芳</v>
      </c>
      <c r="AK3" s="1" t="str">
        <f>VLOOKUP(AK1,'Staff List'!$A$2:$E$36,4,FALSE)</f>
        <v>張秀玉</v>
      </c>
    </row>
    <row r="4" spans="1:37">
      <c r="A4" s="2">
        <v>0.3125</v>
      </c>
      <c r="B4" s="2">
        <v>0.33333333333333331</v>
      </c>
      <c r="C4" s="6" t="s">
        <v>4</v>
      </c>
      <c r="D4" s="6" t="s">
        <v>90</v>
      </c>
      <c r="E4" s="6" t="s">
        <v>91</v>
      </c>
      <c r="F4" s="5" t="s">
        <v>92</v>
      </c>
      <c r="G4" s="6" t="s">
        <v>93</v>
      </c>
      <c r="H4" s="6" t="s">
        <v>96</v>
      </c>
      <c r="I4" s="6" t="s">
        <v>97</v>
      </c>
      <c r="J4" s="6" t="s">
        <v>98</v>
      </c>
      <c r="K4" s="12" t="s">
        <v>95</v>
      </c>
      <c r="L4" s="6" t="s">
        <v>94</v>
      </c>
      <c r="M4" s="5" t="s">
        <v>109</v>
      </c>
      <c r="N4" s="14" t="s">
        <v>99</v>
      </c>
      <c r="O4" s="11" t="s">
        <v>106</v>
      </c>
      <c r="P4" s="12" t="s">
        <v>102</v>
      </c>
      <c r="Q4" s="14" t="s">
        <v>100</v>
      </c>
      <c r="R4" s="14" t="s">
        <v>105</v>
      </c>
      <c r="S4" s="11" t="s">
        <v>110</v>
      </c>
      <c r="T4" s="11" t="s">
        <v>111</v>
      </c>
      <c r="U4" s="11" t="s">
        <v>112</v>
      </c>
      <c r="V4" s="14" t="s">
        <v>101</v>
      </c>
      <c r="W4" s="14" t="s">
        <v>103</v>
      </c>
      <c r="X4" s="11" t="s">
        <v>113</v>
      </c>
      <c r="Y4" s="11" t="s">
        <v>114</v>
      </c>
      <c r="Z4" s="11" t="s">
        <v>115</v>
      </c>
      <c r="AA4" s="14" t="s">
        <v>104</v>
      </c>
      <c r="AB4" s="11" t="s">
        <v>116</v>
      </c>
      <c r="AC4" s="11" t="s">
        <v>117</v>
      </c>
      <c r="AD4" s="11" t="s">
        <v>118</v>
      </c>
      <c r="AE4" s="20" t="s">
        <v>107</v>
      </c>
      <c r="AF4" s="14" t="s">
        <v>135</v>
      </c>
      <c r="AG4" s="24" t="s">
        <v>137</v>
      </c>
      <c r="AH4" s="6" t="s">
        <v>131</v>
      </c>
      <c r="AI4" s="6" t="s">
        <v>132</v>
      </c>
      <c r="AJ4" s="6" t="s">
        <v>133</v>
      </c>
      <c r="AK4" s="6" t="s">
        <v>134</v>
      </c>
    </row>
    <row r="5" spans="1:37">
      <c r="A5" s="2">
        <v>0.33333333333333331</v>
      </c>
      <c r="B5" s="2">
        <v>0.35416666666666669</v>
      </c>
      <c r="C5" s="6"/>
      <c r="D5" s="6"/>
      <c r="E5" s="6"/>
      <c r="F5" s="5"/>
      <c r="G5" s="6"/>
      <c r="H5" s="6"/>
      <c r="I5" s="6"/>
      <c r="J5" s="6"/>
      <c r="K5" s="12"/>
      <c r="L5" s="6"/>
      <c r="M5" s="5"/>
      <c r="N5" s="14"/>
      <c r="O5" s="11"/>
      <c r="P5" s="12"/>
      <c r="Q5" s="14"/>
      <c r="R5" s="14"/>
      <c r="S5" s="11"/>
      <c r="T5" s="11"/>
      <c r="U5" s="11"/>
      <c r="V5" s="14"/>
      <c r="W5" s="14"/>
      <c r="X5" s="11"/>
      <c r="Y5" s="11"/>
      <c r="Z5" s="11"/>
      <c r="AA5" s="14"/>
      <c r="AB5" s="11"/>
      <c r="AC5" s="11"/>
      <c r="AD5" s="11"/>
      <c r="AE5" s="20"/>
      <c r="AF5" s="14"/>
      <c r="AG5" s="25"/>
      <c r="AH5" s="6"/>
      <c r="AI5" s="6"/>
      <c r="AJ5" s="7"/>
      <c r="AK5" s="7"/>
    </row>
    <row r="6" spans="1:37">
      <c r="A6" s="2">
        <v>0.35416666666666702</v>
      </c>
      <c r="B6" s="2">
        <v>0.375</v>
      </c>
      <c r="C6" s="6"/>
      <c r="D6" s="6"/>
      <c r="E6" s="6"/>
      <c r="F6" s="5"/>
      <c r="G6" s="6"/>
      <c r="H6" s="6"/>
      <c r="I6" s="6"/>
      <c r="J6" s="6"/>
      <c r="K6" s="12"/>
      <c r="L6" s="6"/>
      <c r="M6" s="5"/>
      <c r="N6" s="14"/>
      <c r="O6" s="11"/>
      <c r="P6" s="12"/>
      <c r="Q6" s="14"/>
      <c r="R6" s="14"/>
      <c r="S6" s="11"/>
      <c r="T6" s="11"/>
      <c r="U6" s="11"/>
      <c r="V6" s="14"/>
      <c r="W6" s="14"/>
      <c r="X6" s="11"/>
      <c r="Y6" s="11"/>
      <c r="Z6" s="11"/>
      <c r="AA6" s="14"/>
      <c r="AB6" s="11"/>
      <c r="AC6" s="11"/>
      <c r="AD6" s="11"/>
      <c r="AE6" s="20"/>
      <c r="AF6" s="14"/>
      <c r="AG6" s="25"/>
      <c r="AH6" s="6"/>
      <c r="AI6" s="6"/>
      <c r="AJ6" s="7"/>
      <c r="AK6" s="7"/>
    </row>
    <row r="7" spans="1:37">
      <c r="A7" s="2">
        <v>0.375</v>
      </c>
      <c r="B7" s="2">
        <v>0.39583333333333298</v>
      </c>
      <c r="C7" s="6"/>
      <c r="D7" s="6"/>
      <c r="E7" s="6"/>
      <c r="F7" s="5"/>
      <c r="G7" s="6"/>
      <c r="H7" s="6"/>
      <c r="I7" s="6"/>
      <c r="J7" s="6"/>
      <c r="K7" s="12"/>
      <c r="L7" s="6"/>
      <c r="M7" s="5"/>
      <c r="N7" s="14"/>
      <c r="O7" s="11"/>
      <c r="P7" s="12"/>
      <c r="Q7" s="14"/>
      <c r="R7" s="14"/>
      <c r="S7" s="11"/>
      <c r="T7" s="11"/>
      <c r="U7" s="11"/>
      <c r="V7" s="14"/>
      <c r="W7" s="14"/>
      <c r="X7" s="11"/>
      <c r="Y7" s="11"/>
      <c r="Z7" s="11"/>
      <c r="AA7" s="14"/>
      <c r="AB7" s="11"/>
      <c r="AC7" s="11"/>
      <c r="AD7" s="11"/>
      <c r="AE7" s="20"/>
      <c r="AF7" s="14"/>
      <c r="AG7" s="26"/>
      <c r="AH7" s="6"/>
      <c r="AI7" s="6"/>
      <c r="AJ7" s="7"/>
      <c r="AK7" s="7"/>
    </row>
    <row r="8" spans="1:37">
      <c r="A8" s="2">
        <v>0.39583333333333298</v>
      </c>
      <c r="B8" s="2">
        <v>0.41666666666666702</v>
      </c>
      <c r="C8" s="6"/>
      <c r="D8" s="6"/>
      <c r="E8" s="6"/>
      <c r="F8" s="5"/>
      <c r="G8" s="6"/>
      <c r="H8" s="6"/>
      <c r="I8" s="6"/>
      <c r="J8" s="6"/>
      <c r="K8" s="12"/>
      <c r="L8" s="6"/>
      <c r="M8" s="5"/>
      <c r="N8" s="14"/>
      <c r="O8" s="11"/>
      <c r="P8" s="12"/>
      <c r="Q8" s="14"/>
      <c r="R8" s="14"/>
      <c r="S8" s="11"/>
      <c r="T8" s="11"/>
      <c r="U8" s="11"/>
      <c r="V8" s="14"/>
      <c r="W8" s="14"/>
      <c r="X8" s="11"/>
      <c r="Y8" s="11"/>
      <c r="Z8" s="11"/>
      <c r="AA8" s="14"/>
      <c r="AB8" s="11"/>
      <c r="AC8" s="11"/>
      <c r="AD8" s="11"/>
      <c r="AE8" s="20"/>
      <c r="AF8" s="24" t="s">
        <v>137</v>
      </c>
      <c r="AG8" s="14" t="s">
        <v>135</v>
      </c>
      <c r="AH8" s="6"/>
      <c r="AI8" s="6"/>
      <c r="AJ8" s="7"/>
      <c r="AK8" s="7"/>
    </row>
    <row r="9" spans="1:37">
      <c r="A9" s="2">
        <v>0.41666666666666702</v>
      </c>
      <c r="B9" s="2">
        <v>0.4375</v>
      </c>
      <c r="C9" s="6"/>
      <c r="D9" s="6"/>
      <c r="E9" s="6"/>
      <c r="F9" s="5"/>
      <c r="G9" s="6"/>
      <c r="H9" s="6"/>
      <c r="I9" s="6"/>
      <c r="J9" s="6"/>
      <c r="K9" s="12"/>
      <c r="L9" s="6"/>
      <c r="M9" s="5"/>
      <c r="N9" s="14"/>
      <c r="O9" s="11"/>
      <c r="P9" s="12"/>
      <c r="Q9" s="14"/>
      <c r="R9" s="14"/>
      <c r="S9" s="11"/>
      <c r="T9" s="11"/>
      <c r="U9" s="11"/>
      <c r="V9" s="14"/>
      <c r="W9" s="14"/>
      <c r="X9" s="11"/>
      <c r="Y9" s="11"/>
      <c r="Z9" s="11"/>
      <c r="AA9" s="14"/>
      <c r="AB9" s="11"/>
      <c r="AC9" s="11"/>
      <c r="AD9" s="11"/>
      <c r="AE9" s="20"/>
      <c r="AF9" s="25"/>
      <c r="AG9" s="14"/>
      <c r="AH9" s="6"/>
      <c r="AI9" s="6"/>
      <c r="AJ9" s="7"/>
      <c r="AK9" s="7"/>
    </row>
    <row r="10" spans="1:37">
      <c r="A10" s="2">
        <v>0.4375</v>
      </c>
      <c r="B10" s="2">
        <v>0.45833333333333298</v>
      </c>
      <c r="C10" s="6"/>
      <c r="D10" s="6"/>
      <c r="E10" s="6"/>
      <c r="F10" s="5"/>
      <c r="G10" s="6"/>
      <c r="H10" s="6"/>
      <c r="I10" s="6"/>
      <c r="J10" s="6"/>
      <c r="K10" s="12"/>
      <c r="L10" s="6"/>
      <c r="M10" s="5"/>
      <c r="N10" s="14"/>
      <c r="O10" s="11"/>
      <c r="P10" s="12"/>
      <c r="Q10" s="14"/>
      <c r="R10" s="14"/>
      <c r="S10" s="11"/>
      <c r="T10" s="11"/>
      <c r="U10" s="11"/>
      <c r="V10" s="14"/>
      <c r="W10" s="14"/>
      <c r="X10" s="11"/>
      <c r="Y10" s="11"/>
      <c r="Z10" s="11"/>
      <c r="AA10" s="14"/>
      <c r="AB10" s="11"/>
      <c r="AC10" s="11"/>
      <c r="AD10" s="11"/>
      <c r="AE10" s="20"/>
      <c r="AF10" s="26"/>
      <c r="AG10" s="14"/>
      <c r="AH10" s="6"/>
      <c r="AI10" s="6"/>
      <c r="AJ10" s="7"/>
      <c r="AK10" s="7"/>
    </row>
    <row r="11" spans="1:37">
      <c r="A11" s="2">
        <v>0.45833333333333298</v>
      </c>
      <c r="B11" s="2">
        <v>0.47916666666666702</v>
      </c>
      <c r="C11" s="6"/>
      <c r="D11" s="10" t="s">
        <v>85</v>
      </c>
      <c r="E11" s="6"/>
      <c r="F11" s="8" t="s">
        <v>85</v>
      </c>
      <c r="G11" s="10" t="s">
        <v>85</v>
      </c>
      <c r="H11" s="6" t="s">
        <v>98</v>
      </c>
      <c r="I11" s="6" t="s">
        <v>94</v>
      </c>
      <c r="J11" s="6" t="s">
        <v>96</v>
      </c>
      <c r="K11" s="10" t="s">
        <v>85</v>
      </c>
      <c r="L11" s="13" t="s">
        <v>95</v>
      </c>
      <c r="M11" s="5"/>
      <c r="N11" s="9" t="s">
        <v>85</v>
      </c>
      <c r="O11" s="14" t="s">
        <v>99</v>
      </c>
      <c r="P11" s="9" t="s">
        <v>85</v>
      </c>
      <c r="Q11" s="9" t="s">
        <v>85</v>
      </c>
      <c r="R11" s="12" t="s">
        <v>102</v>
      </c>
      <c r="S11" s="11" t="s">
        <v>120</v>
      </c>
      <c r="T11" s="14" t="s">
        <v>105</v>
      </c>
      <c r="U11" s="14" t="s">
        <v>100</v>
      </c>
      <c r="V11" s="9" t="s">
        <v>85</v>
      </c>
      <c r="W11" s="9" t="s">
        <v>85</v>
      </c>
      <c r="X11" s="14" t="s">
        <v>101</v>
      </c>
      <c r="Y11" s="14" t="s">
        <v>103</v>
      </c>
      <c r="Z11" s="11" t="s">
        <v>119</v>
      </c>
      <c r="AA11" s="9" t="s">
        <v>85</v>
      </c>
      <c r="AB11" s="14" t="s">
        <v>104</v>
      </c>
      <c r="AC11" s="11" t="s">
        <v>113</v>
      </c>
      <c r="AD11" s="11" t="s">
        <v>106</v>
      </c>
      <c r="AE11" s="8" t="s">
        <v>136</v>
      </c>
      <c r="AF11" s="10" t="s">
        <v>85</v>
      </c>
      <c r="AG11" s="10" t="s">
        <v>85</v>
      </c>
      <c r="AH11" s="6"/>
      <c r="AI11" s="6"/>
      <c r="AJ11" s="14" t="s">
        <v>107</v>
      </c>
      <c r="AK11" s="14" t="s">
        <v>108</v>
      </c>
    </row>
    <row r="12" spans="1:37">
      <c r="A12" s="2">
        <v>0.47916666666666702</v>
      </c>
      <c r="B12" s="2">
        <v>0.5</v>
      </c>
      <c r="C12" s="6"/>
      <c r="D12" s="10"/>
      <c r="E12" s="6"/>
      <c r="F12" s="8"/>
      <c r="G12" s="10"/>
      <c r="H12" s="6"/>
      <c r="I12" s="6"/>
      <c r="J12" s="6"/>
      <c r="K12" s="10"/>
      <c r="L12" s="13"/>
      <c r="M12" s="5"/>
      <c r="N12" s="9"/>
      <c r="O12" s="14"/>
      <c r="P12" s="9"/>
      <c r="Q12" s="9"/>
      <c r="R12" s="12"/>
      <c r="S12" s="11"/>
      <c r="T12" s="14"/>
      <c r="U12" s="14"/>
      <c r="V12" s="9"/>
      <c r="W12" s="9"/>
      <c r="X12" s="14"/>
      <c r="Y12" s="14"/>
      <c r="Z12" s="11"/>
      <c r="AA12" s="9"/>
      <c r="AB12" s="14"/>
      <c r="AC12" s="11"/>
      <c r="AD12" s="11"/>
      <c r="AE12" s="8"/>
      <c r="AF12" s="10"/>
      <c r="AG12" s="10"/>
      <c r="AH12" s="6"/>
      <c r="AI12" s="6"/>
      <c r="AJ12" s="14"/>
      <c r="AK12" s="14"/>
    </row>
    <row r="13" spans="1:37">
      <c r="A13" s="2">
        <v>0.5</v>
      </c>
      <c r="B13" s="2">
        <v>0.52083333333333304</v>
      </c>
      <c r="C13" s="6"/>
      <c r="D13" s="10"/>
      <c r="E13" s="6"/>
      <c r="F13" s="8"/>
      <c r="G13" s="10"/>
      <c r="H13" s="6"/>
      <c r="I13" s="6"/>
      <c r="J13" s="6"/>
      <c r="K13" s="10"/>
      <c r="L13" s="13"/>
      <c r="M13" s="5"/>
      <c r="N13" s="9"/>
      <c r="O13" s="14"/>
      <c r="P13" s="9"/>
      <c r="Q13" s="9"/>
      <c r="R13" s="12"/>
      <c r="S13" s="11"/>
      <c r="T13" s="14"/>
      <c r="U13" s="14"/>
      <c r="V13" s="9"/>
      <c r="W13" s="9"/>
      <c r="X13" s="14"/>
      <c r="Y13" s="14"/>
      <c r="Z13" s="11"/>
      <c r="AA13" s="9"/>
      <c r="AB13" s="14"/>
      <c r="AC13" s="11"/>
      <c r="AD13" s="11"/>
      <c r="AE13" s="8"/>
      <c r="AF13" s="10"/>
      <c r="AG13" s="10"/>
      <c r="AH13" s="6"/>
      <c r="AI13" s="6"/>
      <c r="AJ13" s="14"/>
      <c r="AK13" s="14"/>
    </row>
    <row r="14" spans="1:37">
      <c r="A14" s="2">
        <v>0.52083333333333304</v>
      </c>
      <c r="B14" s="2">
        <v>0.54166666666666696</v>
      </c>
      <c r="C14" s="6"/>
      <c r="D14" s="6" t="s">
        <v>90</v>
      </c>
      <c r="E14" s="10" t="s">
        <v>85</v>
      </c>
      <c r="F14" s="5" t="s">
        <v>92</v>
      </c>
      <c r="G14" s="6" t="s">
        <v>93</v>
      </c>
      <c r="H14" s="10" t="s">
        <v>85</v>
      </c>
      <c r="I14" s="6"/>
      <c r="J14" s="10" t="s">
        <v>85</v>
      </c>
      <c r="K14" s="6" t="s">
        <v>97</v>
      </c>
      <c r="L14" s="13"/>
      <c r="M14" s="8" t="s">
        <v>85</v>
      </c>
      <c r="N14" s="14" t="s">
        <v>105</v>
      </c>
      <c r="O14" s="14"/>
      <c r="P14" s="11" t="s">
        <v>123</v>
      </c>
      <c r="Q14" s="11" t="s">
        <v>125</v>
      </c>
      <c r="R14" s="12"/>
      <c r="S14" s="9" t="s">
        <v>85</v>
      </c>
      <c r="T14" s="9" t="s">
        <v>85</v>
      </c>
      <c r="U14" s="14"/>
      <c r="V14" s="11" t="s">
        <v>120</v>
      </c>
      <c r="W14" s="11" t="s">
        <v>119</v>
      </c>
      <c r="X14" s="14"/>
      <c r="Y14" s="14"/>
      <c r="Z14" s="9" t="s">
        <v>85</v>
      </c>
      <c r="AA14" s="11" t="s">
        <v>127</v>
      </c>
      <c r="AB14" s="14"/>
      <c r="AC14" s="9" t="s">
        <v>85</v>
      </c>
      <c r="AD14" s="9" t="s">
        <v>85</v>
      </c>
      <c r="AE14" s="5" t="s">
        <v>130</v>
      </c>
      <c r="AF14" s="6" t="s">
        <v>131</v>
      </c>
      <c r="AG14" s="6" t="s">
        <v>132</v>
      </c>
      <c r="AH14" s="10" t="s">
        <v>85</v>
      </c>
      <c r="AI14" s="10" t="s">
        <v>85</v>
      </c>
      <c r="AJ14" s="14"/>
      <c r="AK14" s="14"/>
    </row>
    <row r="15" spans="1:37">
      <c r="A15" s="2">
        <v>0.54166666666666596</v>
      </c>
      <c r="B15" s="2">
        <v>0.5625</v>
      </c>
      <c r="C15" s="6"/>
      <c r="D15" s="6"/>
      <c r="E15" s="10"/>
      <c r="F15" s="5"/>
      <c r="G15" s="6"/>
      <c r="H15" s="10"/>
      <c r="I15" s="6"/>
      <c r="J15" s="10"/>
      <c r="K15" s="6"/>
      <c r="L15" s="13"/>
      <c r="M15" s="8"/>
      <c r="N15" s="14"/>
      <c r="O15" s="14"/>
      <c r="P15" s="11"/>
      <c r="Q15" s="11"/>
      <c r="R15" s="12"/>
      <c r="S15" s="9"/>
      <c r="T15" s="9"/>
      <c r="U15" s="14"/>
      <c r="V15" s="11"/>
      <c r="W15" s="11"/>
      <c r="X15" s="14"/>
      <c r="Y15" s="14"/>
      <c r="Z15" s="9"/>
      <c r="AA15" s="11"/>
      <c r="AB15" s="14"/>
      <c r="AC15" s="9"/>
      <c r="AD15" s="9"/>
      <c r="AE15" s="5"/>
      <c r="AF15" s="6"/>
      <c r="AG15" s="6"/>
      <c r="AH15" s="10"/>
      <c r="AI15" s="10"/>
      <c r="AJ15" s="14"/>
      <c r="AK15" s="14"/>
    </row>
    <row r="16" spans="1:37">
      <c r="A16" s="2">
        <v>0.5625</v>
      </c>
      <c r="B16" s="2">
        <v>0.58333333333333304</v>
      </c>
      <c r="C16" s="6"/>
      <c r="D16" s="6"/>
      <c r="E16" s="10"/>
      <c r="F16" s="5"/>
      <c r="G16" s="6"/>
      <c r="H16" s="10"/>
      <c r="I16" s="6"/>
      <c r="J16" s="10"/>
      <c r="K16" s="6"/>
      <c r="L16" s="13"/>
      <c r="M16" s="8"/>
      <c r="N16" s="14"/>
      <c r="O16" s="14"/>
      <c r="P16" s="11"/>
      <c r="Q16" s="11"/>
      <c r="R16" s="12"/>
      <c r="S16" s="9"/>
      <c r="T16" s="9"/>
      <c r="U16" s="14"/>
      <c r="V16" s="11"/>
      <c r="W16" s="11"/>
      <c r="X16" s="14"/>
      <c r="Y16" s="14"/>
      <c r="Z16" s="9"/>
      <c r="AA16" s="11"/>
      <c r="AB16" s="14"/>
      <c r="AC16" s="9"/>
      <c r="AD16" s="9"/>
      <c r="AE16" s="5"/>
      <c r="AF16" s="6"/>
      <c r="AG16" s="6"/>
      <c r="AH16" s="10"/>
      <c r="AI16" s="10"/>
      <c r="AJ16" s="14"/>
      <c r="AK16" s="14"/>
    </row>
    <row r="17" spans="1:37">
      <c r="A17" s="2">
        <v>0.58333333333333304</v>
      </c>
      <c r="B17" s="2">
        <v>0.60416666666666696</v>
      </c>
      <c r="C17" s="10" t="s">
        <v>85</v>
      </c>
      <c r="D17" s="6"/>
      <c r="E17" s="6" t="s">
        <v>91</v>
      </c>
      <c r="F17" s="5"/>
      <c r="G17" s="6"/>
      <c r="H17" s="6" t="s">
        <v>94</v>
      </c>
      <c r="I17" s="10" t="s">
        <v>85</v>
      </c>
      <c r="J17" s="12" t="s">
        <v>95</v>
      </c>
      <c r="K17" s="6" t="s">
        <v>98</v>
      </c>
      <c r="L17" s="10" t="s">
        <v>85</v>
      </c>
      <c r="M17" s="5" t="s">
        <v>109</v>
      </c>
      <c r="N17" s="11" t="s">
        <v>123</v>
      </c>
      <c r="O17" s="9" t="s">
        <v>85</v>
      </c>
      <c r="P17" s="14" t="s">
        <v>104</v>
      </c>
      <c r="Q17" s="14" t="s">
        <v>105</v>
      </c>
      <c r="R17" s="9" t="s">
        <v>85</v>
      </c>
      <c r="S17" s="14" t="s">
        <v>99</v>
      </c>
      <c r="T17" s="12" t="s">
        <v>102</v>
      </c>
      <c r="U17" s="9" t="s">
        <v>85</v>
      </c>
      <c r="V17" s="11"/>
      <c r="W17" s="11"/>
      <c r="X17" s="9" t="s">
        <v>85</v>
      </c>
      <c r="Y17" s="9" t="s">
        <v>85</v>
      </c>
      <c r="Z17" s="14" t="s">
        <v>100</v>
      </c>
      <c r="AA17" s="11"/>
      <c r="AB17" s="9" t="s">
        <v>85</v>
      </c>
      <c r="AC17" s="14" t="s">
        <v>101</v>
      </c>
      <c r="AD17" s="19" t="s">
        <v>103</v>
      </c>
      <c r="AE17" s="5"/>
      <c r="AF17" s="6"/>
      <c r="AG17" s="6"/>
      <c r="AH17" s="14" t="s">
        <v>107</v>
      </c>
      <c r="AI17" s="14" t="s">
        <v>135</v>
      </c>
      <c r="AJ17" s="10" t="s">
        <v>85</v>
      </c>
      <c r="AK17" s="10" t="s">
        <v>85</v>
      </c>
    </row>
    <row r="18" spans="1:37">
      <c r="A18" s="2">
        <v>0.60416666666666596</v>
      </c>
      <c r="B18" s="2">
        <v>0.625</v>
      </c>
      <c r="C18" s="10"/>
      <c r="D18" s="6"/>
      <c r="E18" s="6"/>
      <c r="F18" s="5"/>
      <c r="G18" s="6"/>
      <c r="H18" s="6"/>
      <c r="I18" s="10"/>
      <c r="J18" s="12"/>
      <c r="K18" s="6"/>
      <c r="L18" s="10"/>
      <c r="M18" s="5"/>
      <c r="N18" s="11"/>
      <c r="O18" s="9"/>
      <c r="P18" s="14"/>
      <c r="Q18" s="14"/>
      <c r="R18" s="9"/>
      <c r="S18" s="14"/>
      <c r="T18" s="12"/>
      <c r="U18" s="9"/>
      <c r="V18" s="11"/>
      <c r="W18" s="11"/>
      <c r="X18" s="9"/>
      <c r="Y18" s="9"/>
      <c r="Z18" s="14"/>
      <c r="AA18" s="11"/>
      <c r="AB18" s="9"/>
      <c r="AC18" s="14"/>
      <c r="AD18" s="19"/>
      <c r="AE18" s="5"/>
      <c r="AF18" s="6"/>
      <c r="AG18" s="6"/>
      <c r="AH18" s="14"/>
      <c r="AI18" s="14"/>
      <c r="AJ18" s="10"/>
      <c r="AK18" s="10"/>
    </row>
    <row r="19" spans="1:37">
      <c r="A19" s="2">
        <v>0.625</v>
      </c>
      <c r="B19" s="2">
        <v>0.64583333333333404</v>
      </c>
      <c r="C19" s="10"/>
      <c r="D19" s="6"/>
      <c r="E19" s="6"/>
      <c r="F19" s="5"/>
      <c r="G19" s="6"/>
      <c r="H19" s="6"/>
      <c r="I19" s="10"/>
      <c r="J19" s="12"/>
      <c r="K19" s="6"/>
      <c r="L19" s="10"/>
      <c r="M19" s="5"/>
      <c r="N19" s="11"/>
      <c r="O19" s="9"/>
      <c r="P19" s="14"/>
      <c r="Q19" s="14"/>
      <c r="R19" s="9"/>
      <c r="S19" s="14"/>
      <c r="T19" s="12"/>
      <c r="U19" s="9"/>
      <c r="V19" s="11"/>
      <c r="W19" s="11"/>
      <c r="X19" s="9"/>
      <c r="Y19" s="9"/>
      <c r="Z19" s="14"/>
      <c r="AA19" s="11"/>
      <c r="AB19" s="9"/>
      <c r="AC19" s="14"/>
      <c r="AD19" s="19"/>
      <c r="AE19" s="5"/>
      <c r="AF19" s="6"/>
      <c r="AG19" s="6"/>
      <c r="AH19" s="14"/>
      <c r="AI19" s="14"/>
      <c r="AJ19" s="10"/>
      <c r="AK19" s="10"/>
    </row>
    <row r="20" spans="1:37">
      <c r="A20" s="2">
        <v>0.64583333333333304</v>
      </c>
      <c r="B20" s="2">
        <v>0.66666666666666696</v>
      </c>
      <c r="C20" s="6" t="s">
        <v>4</v>
      </c>
      <c r="D20" s="6"/>
      <c r="E20" s="6"/>
      <c r="F20" s="5"/>
      <c r="G20" s="6"/>
      <c r="H20" s="6"/>
      <c r="I20" s="6" t="s">
        <v>96</v>
      </c>
      <c r="J20" s="12"/>
      <c r="K20" s="6"/>
      <c r="L20" s="6" t="s">
        <v>97</v>
      </c>
      <c r="M20" s="5"/>
      <c r="N20" s="11"/>
      <c r="O20" s="11" t="s">
        <v>120</v>
      </c>
      <c r="P20" s="14"/>
      <c r="Q20" s="14"/>
      <c r="R20" s="11" t="s">
        <v>119</v>
      </c>
      <c r="S20" s="14"/>
      <c r="T20" s="12"/>
      <c r="U20" s="11" t="s">
        <v>122</v>
      </c>
      <c r="V20" s="11" t="s">
        <v>125</v>
      </c>
      <c r="W20" s="11" t="s">
        <v>127</v>
      </c>
      <c r="X20" s="11" t="s">
        <v>128</v>
      </c>
      <c r="Y20" s="11" t="s">
        <v>129</v>
      </c>
      <c r="Z20" s="14"/>
      <c r="AA20" s="11" t="s">
        <v>126</v>
      </c>
      <c r="AB20" s="11" t="s">
        <v>124</v>
      </c>
      <c r="AC20" s="14"/>
      <c r="AD20" s="19"/>
      <c r="AE20" s="5" t="s">
        <v>132</v>
      </c>
      <c r="AF20" s="6" t="s">
        <v>133</v>
      </c>
      <c r="AG20" s="6" t="s">
        <v>134</v>
      </c>
      <c r="AH20" s="14"/>
      <c r="AI20" s="14"/>
      <c r="AJ20" s="6" t="s">
        <v>130</v>
      </c>
      <c r="AK20" s="6" t="s">
        <v>131</v>
      </c>
    </row>
    <row r="21" spans="1:37">
      <c r="A21" s="2">
        <v>0.66666666666666596</v>
      </c>
      <c r="B21" s="2">
        <v>0.6875</v>
      </c>
      <c r="C21" s="6"/>
      <c r="D21" s="6"/>
      <c r="E21" s="6"/>
      <c r="F21" s="5"/>
      <c r="G21" s="6"/>
      <c r="H21" s="6"/>
      <c r="I21" s="6"/>
      <c r="J21" s="12"/>
      <c r="K21" s="6"/>
      <c r="L21" s="6"/>
      <c r="M21" s="5"/>
      <c r="N21" s="11"/>
      <c r="O21" s="11"/>
      <c r="P21" s="14"/>
      <c r="Q21" s="14"/>
      <c r="R21" s="11"/>
      <c r="S21" s="14"/>
      <c r="T21" s="12"/>
      <c r="U21" s="11"/>
      <c r="V21" s="11"/>
      <c r="W21" s="11"/>
      <c r="X21" s="11"/>
      <c r="Y21" s="11"/>
      <c r="Z21" s="14"/>
      <c r="AA21" s="11"/>
      <c r="AB21" s="11"/>
      <c r="AC21" s="14"/>
      <c r="AD21" s="19"/>
      <c r="AE21" s="5"/>
      <c r="AF21" s="6"/>
      <c r="AG21" s="6"/>
      <c r="AH21" s="14"/>
      <c r="AI21" s="14"/>
      <c r="AJ21" s="7"/>
      <c r="AK21" s="7"/>
    </row>
    <row r="22" spans="1:37">
      <c r="A22" s="2">
        <v>0.6875</v>
      </c>
      <c r="B22" s="2">
        <v>0.70833333333333404</v>
      </c>
      <c r="C22" s="6"/>
      <c r="D22" s="6"/>
      <c r="E22" s="6"/>
      <c r="F22" s="5"/>
      <c r="G22" s="6"/>
      <c r="H22" s="6"/>
      <c r="I22" s="6"/>
      <c r="J22" s="12"/>
      <c r="K22" s="6"/>
      <c r="L22" s="6"/>
      <c r="M22" s="5"/>
      <c r="N22" s="11"/>
      <c r="O22" s="11"/>
      <c r="P22" s="14"/>
      <c r="Q22" s="14"/>
      <c r="R22" s="11"/>
      <c r="S22" s="14"/>
      <c r="T22" s="12"/>
      <c r="U22" s="11"/>
      <c r="V22" s="11"/>
      <c r="W22" s="11"/>
      <c r="X22" s="11"/>
      <c r="Y22" s="11"/>
      <c r="Z22" s="14"/>
      <c r="AA22" s="11"/>
      <c r="AB22" s="11"/>
      <c r="AC22" s="14"/>
      <c r="AD22" s="19"/>
      <c r="AE22" s="5"/>
      <c r="AF22" s="6"/>
      <c r="AG22" s="6"/>
      <c r="AH22" s="14"/>
      <c r="AI22" s="14"/>
      <c r="AJ22" s="7"/>
      <c r="AK22" s="7"/>
    </row>
    <row r="23" spans="1:37">
      <c r="A23" s="2">
        <v>0.70833333333333304</v>
      </c>
      <c r="B23" s="2">
        <v>0.72916666666666696</v>
      </c>
      <c r="C23" s="6"/>
      <c r="D23" s="6"/>
      <c r="E23" s="6"/>
      <c r="F23" s="5"/>
      <c r="G23" s="6"/>
      <c r="H23" s="6" t="s">
        <v>97</v>
      </c>
      <c r="I23" s="12" t="s">
        <v>95</v>
      </c>
      <c r="J23" s="6" t="s">
        <v>94</v>
      </c>
      <c r="K23" s="6" t="s">
        <v>96</v>
      </c>
      <c r="L23" s="6" t="s">
        <v>98</v>
      </c>
      <c r="M23" s="5"/>
      <c r="N23" s="11" t="s">
        <v>128</v>
      </c>
      <c r="O23" s="14" t="s">
        <v>99</v>
      </c>
      <c r="P23" s="11" t="s">
        <v>122</v>
      </c>
      <c r="Q23" s="11" t="s">
        <v>129</v>
      </c>
      <c r="R23" s="12" t="s">
        <v>102</v>
      </c>
      <c r="S23" s="11" t="s">
        <v>127</v>
      </c>
      <c r="T23" s="14" t="s">
        <v>105</v>
      </c>
      <c r="U23" s="14" t="s">
        <v>100</v>
      </c>
      <c r="V23" s="11"/>
      <c r="W23" s="11"/>
      <c r="X23" s="14" t="s">
        <v>101</v>
      </c>
      <c r="Y23" s="14" t="s">
        <v>103</v>
      </c>
      <c r="Z23" s="11" t="s">
        <v>123</v>
      </c>
      <c r="AA23" s="11"/>
      <c r="AB23" s="14" t="s">
        <v>104</v>
      </c>
      <c r="AC23" s="11" t="s">
        <v>120</v>
      </c>
      <c r="AD23" s="11" t="s">
        <v>121</v>
      </c>
      <c r="AE23" s="5"/>
      <c r="AF23" s="6"/>
      <c r="AG23" s="6"/>
      <c r="AH23" s="24" t="s">
        <v>137</v>
      </c>
      <c r="AI23" s="6" t="s">
        <v>138</v>
      </c>
      <c r="AJ23" s="14" t="s">
        <v>107</v>
      </c>
      <c r="AK23" s="14" t="s">
        <v>108</v>
      </c>
    </row>
    <row r="24" spans="1:37">
      <c r="A24" s="2">
        <v>0.72916666666666596</v>
      </c>
      <c r="B24" s="2">
        <v>0.75</v>
      </c>
      <c r="C24" s="6"/>
      <c r="D24" s="6"/>
      <c r="E24" s="6"/>
      <c r="F24" s="5"/>
      <c r="G24" s="6"/>
      <c r="H24" s="6"/>
      <c r="I24" s="12"/>
      <c r="J24" s="6"/>
      <c r="K24" s="6"/>
      <c r="L24" s="6"/>
      <c r="M24" s="5"/>
      <c r="N24" s="11"/>
      <c r="O24" s="14"/>
      <c r="P24" s="11"/>
      <c r="Q24" s="11"/>
      <c r="R24" s="12"/>
      <c r="S24" s="11"/>
      <c r="T24" s="14"/>
      <c r="U24" s="15"/>
      <c r="V24" s="11"/>
      <c r="W24" s="11"/>
      <c r="X24" s="15"/>
      <c r="Y24" s="15"/>
      <c r="Z24" s="11"/>
      <c r="AA24" s="11"/>
      <c r="AB24" s="15"/>
      <c r="AC24" s="11"/>
      <c r="AD24" s="11"/>
      <c r="AE24" s="5"/>
      <c r="AF24" s="6"/>
      <c r="AG24" s="6"/>
      <c r="AH24" s="25"/>
      <c r="AI24" s="6"/>
      <c r="AJ24" s="15"/>
      <c r="AK24" s="15"/>
    </row>
    <row r="25" spans="1:37">
      <c r="A25" s="2">
        <v>0.75</v>
      </c>
      <c r="B25" s="2">
        <v>0.77083333333333404</v>
      </c>
      <c r="C25" s="6"/>
      <c r="D25" s="10" t="s">
        <v>85</v>
      </c>
      <c r="E25" s="6"/>
      <c r="F25" s="5"/>
      <c r="G25" s="10" t="s">
        <v>85</v>
      </c>
      <c r="H25" s="10" t="s">
        <v>85</v>
      </c>
      <c r="I25" s="12"/>
      <c r="J25" s="6"/>
      <c r="K25" s="10" t="s">
        <v>85</v>
      </c>
      <c r="L25" s="6"/>
      <c r="M25" s="5"/>
      <c r="N25" s="9" t="s">
        <v>85</v>
      </c>
      <c r="O25" s="14"/>
      <c r="P25" s="9" t="s">
        <v>85</v>
      </c>
      <c r="Q25" s="9" t="s">
        <v>85</v>
      </c>
      <c r="R25" s="12"/>
      <c r="S25" s="11"/>
      <c r="T25" s="14"/>
      <c r="U25" s="15"/>
      <c r="V25" s="9" t="s">
        <v>85</v>
      </c>
      <c r="W25" s="9" t="s">
        <v>85</v>
      </c>
      <c r="X25" s="15"/>
      <c r="Y25" s="15"/>
      <c r="Z25" s="11"/>
      <c r="AA25" s="9" t="s">
        <v>85</v>
      </c>
      <c r="AB25" s="15"/>
      <c r="AC25" s="11"/>
      <c r="AD25" s="11"/>
      <c r="AE25" s="8" t="s">
        <v>85</v>
      </c>
      <c r="AF25" s="10" t="s">
        <v>85</v>
      </c>
      <c r="AG25" s="10" t="s">
        <v>85</v>
      </c>
      <c r="AH25" s="25"/>
      <c r="AI25" s="6"/>
      <c r="AJ25" s="15"/>
      <c r="AK25" s="15"/>
    </row>
    <row r="26" spans="1:37">
      <c r="A26" s="2">
        <v>0.77083333333333304</v>
      </c>
      <c r="B26" s="2">
        <v>0.79166666666666696</v>
      </c>
      <c r="C26" s="6"/>
      <c r="D26" s="10"/>
      <c r="E26" s="6"/>
      <c r="F26" s="5"/>
      <c r="G26" s="10"/>
      <c r="H26" s="10"/>
      <c r="I26" s="12"/>
      <c r="J26" s="6"/>
      <c r="K26" s="10"/>
      <c r="L26" s="6"/>
      <c r="M26" s="5"/>
      <c r="N26" s="9"/>
      <c r="O26" s="14"/>
      <c r="P26" s="9"/>
      <c r="Q26" s="9"/>
      <c r="R26" s="12"/>
      <c r="S26" s="11"/>
      <c r="T26" s="14"/>
      <c r="U26" s="15"/>
      <c r="V26" s="9"/>
      <c r="W26" s="9"/>
      <c r="X26" s="15"/>
      <c r="Y26" s="15"/>
      <c r="Z26" s="11"/>
      <c r="AA26" s="9"/>
      <c r="AB26" s="15"/>
      <c r="AC26" s="11"/>
      <c r="AD26" s="11"/>
      <c r="AE26" s="8"/>
      <c r="AF26" s="10"/>
      <c r="AG26" s="10"/>
      <c r="AH26" s="26"/>
      <c r="AI26" s="6"/>
      <c r="AJ26" s="15"/>
      <c r="AK26" s="15"/>
    </row>
    <row r="27" spans="1:37">
      <c r="A27" s="2">
        <v>0.79166666666666596</v>
      </c>
      <c r="B27" s="2">
        <v>0.812500000000001</v>
      </c>
      <c r="C27" s="6"/>
      <c r="D27" s="6" t="s">
        <v>90</v>
      </c>
      <c r="E27" s="10" t="s">
        <v>85</v>
      </c>
      <c r="F27" s="5"/>
      <c r="G27" s="6" t="s">
        <v>93</v>
      </c>
      <c r="H27" s="6" t="s">
        <v>97</v>
      </c>
      <c r="I27" s="12"/>
      <c r="J27" s="10" t="s">
        <v>85</v>
      </c>
      <c r="K27" s="6" t="s">
        <v>96</v>
      </c>
      <c r="L27" s="10" t="s">
        <v>85</v>
      </c>
      <c r="M27" s="8" t="s">
        <v>85</v>
      </c>
      <c r="N27" s="14" t="s">
        <v>99</v>
      </c>
      <c r="O27" s="9" t="s">
        <v>85</v>
      </c>
      <c r="P27" s="12" t="s">
        <v>102</v>
      </c>
      <c r="Q27" s="14" t="s">
        <v>100</v>
      </c>
      <c r="R27" s="9" t="s">
        <v>85</v>
      </c>
      <c r="S27" s="11"/>
      <c r="T27" s="14"/>
      <c r="U27" s="9" t="s">
        <v>85</v>
      </c>
      <c r="V27" s="14" t="s">
        <v>101</v>
      </c>
      <c r="W27" s="14" t="s">
        <v>103</v>
      </c>
      <c r="X27" s="9" t="s">
        <v>85</v>
      </c>
      <c r="Y27" s="9" t="s">
        <v>85</v>
      </c>
      <c r="Z27" s="11"/>
      <c r="AA27" s="14" t="s">
        <v>104</v>
      </c>
      <c r="AB27" s="9" t="s">
        <v>85</v>
      </c>
      <c r="AC27" s="11"/>
      <c r="AD27" s="11"/>
      <c r="AE27" s="22" t="s">
        <v>137</v>
      </c>
      <c r="AF27" s="14" t="s">
        <v>107</v>
      </c>
      <c r="AG27" s="14" t="s">
        <v>108</v>
      </c>
      <c r="AH27" s="10" t="s">
        <v>85</v>
      </c>
      <c r="AI27" s="10" t="s">
        <v>85</v>
      </c>
      <c r="AJ27" s="6" t="s">
        <v>131</v>
      </c>
      <c r="AK27" s="7" t="s">
        <v>132</v>
      </c>
    </row>
    <row r="28" spans="1:37">
      <c r="A28" s="2">
        <v>0.8125</v>
      </c>
      <c r="B28" s="2">
        <v>0.83333333333333404</v>
      </c>
      <c r="C28" s="6"/>
      <c r="D28" s="6"/>
      <c r="E28" s="10"/>
      <c r="F28" s="5"/>
      <c r="G28" s="6"/>
      <c r="H28" s="6"/>
      <c r="I28" s="12"/>
      <c r="J28" s="10"/>
      <c r="K28" s="6"/>
      <c r="L28" s="10"/>
      <c r="M28" s="8"/>
      <c r="N28" s="14"/>
      <c r="O28" s="9"/>
      <c r="P28" s="12"/>
      <c r="Q28" s="14"/>
      <c r="R28" s="9"/>
      <c r="S28" s="11"/>
      <c r="T28" s="14"/>
      <c r="U28" s="9"/>
      <c r="V28" s="14"/>
      <c r="W28" s="14"/>
      <c r="X28" s="9"/>
      <c r="Y28" s="9"/>
      <c r="Z28" s="11"/>
      <c r="AA28" s="14"/>
      <c r="AB28" s="9"/>
      <c r="AC28" s="11"/>
      <c r="AD28" s="11"/>
      <c r="AE28" s="21"/>
      <c r="AF28" s="15"/>
      <c r="AG28" s="15"/>
      <c r="AH28" s="10"/>
      <c r="AI28" s="10"/>
      <c r="AJ28" s="6"/>
      <c r="AK28" s="7"/>
    </row>
    <row r="29" spans="1:37">
      <c r="A29" s="2">
        <v>0.83333333333333304</v>
      </c>
      <c r="B29" s="2">
        <v>0.85416666666666696</v>
      </c>
      <c r="C29" s="10" t="s">
        <v>85</v>
      </c>
      <c r="D29" s="6"/>
      <c r="E29" s="6" t="s">
        <v>91</v>
      </c>
      <c r="F29" s="8" t="s">
        <v>85</v>
      </c>
      <c r="G29" s="6"/>
      <c r="H29" s="12" t="s">
        <v>95</v>
      </c>
      <c r="I29" s="10" t="s">
        <v>85</v>
      </c>
      <c r="J29" s="6" t="s">
        <v>97</v>
      </c>
      <c r="K29" s="6" t="s">
        <v>94</v>
      </c>
      <c r="L29" s="6" t="s">
        <v>96</v>
      </c>
      <c r="M29" s="5" t="s">
        <v>109</v>
      </c>
      <c r="N29" s="14"/>
      <c r="O29" s="11" t="s">
        <v>125</v>
      </c>
      <c r="P29" s="12"/>
      <c r="Q29" s="14"/>
      <c r="R29" s="14" t="s">
        <v>105</v>
      </c>
      <c r="S29" s="9" t="s">
        <v>85</v>
      </c>
      <c r="T29" s="9" t="s">
        <v>85</v>
      </c>
      <c r="U29" s="11" t="s">
        <v>127</v>
      </c>
      <c r="V29" s="14"/>
      <c r="W29" s="14"/>
      <c r="X29" s="11" t="s">
        <v>119</v>
      </c>
      <c r="Y29" s="11" t="s">
        <v>120</v>
      </c>
      <c r="Z29" s="9" t="s">
        <v>85</v>
      </c>
      <c r="AA29" s="14"/>
      <c r="AB29" s="11" t="s">
        <v>123</v>
      </c>
      <c r="AC29" s="9" t="s">
        <v>85</v>
      </c>
      <c r="AD29" s="9" t="s">
        <v>85</v>
      </c>
      <c r="AE29" s="21"/>
      <c r="AF29" s="15"/>
      <c r="AG29" s="15"/>
      <c r="AH29" s="6" t="s">
        <v>131</v>
      </c>
      <c r="AI29" s="7" t="s">
        <v>132</v>
      </c>
      <c r="AJ29" s="10" t="s">
        <v>85</v>
      </c>
      <c r="AK29" s="10" t="s">
        <v>85</v>
      </c>
    </row>
    <row r="30" spans="1:37">
      <c r="A30" s="2">
        <v>0.85416666666666596</v>
      </c>
      <c r="B30" s="2">
        <v>0.875000000000001</v>
      </c>
      <c r="C30" s="10"/>
      <c r="D30" s="6"/>
      <c r="E30" s="6"/>
      <c r="F30" s="8"/>
      <c r="G30" s="6"/>
      <c r="H30" s="12"/>
      <c r="I30" s="10"/>
      <c r="J30" s="6"/>
      <c r="K30" s="6"/>
      <c r="L30" s="6"/>
      <c r="M30" s="5"/>
      <c r="N30" s="14"/>
      <c r="O30" s="11"/>
      <c r="P30" s="12"/>
      <c r="Q30" s="14"/>
      <c r="R30" s="14"/>
      <c r="S30" s="9"/>
      <c r="T30" s="9"/>
      <c r="U30" s="11"/>
      <c r="V30" s="14"/>
      <c r="W30" s="14"/>
      <c r="X30" s="11"/>
      <c r="Y30" s="11"/>
      <c r="Z30" s="9"/>
      <c r="AA30" s="14"/>
      <c r="AB30" s="11"/>
      <c r="AC30" s="9"/>
      <c r="AD30" s="9"/>
      <c r="AE30" s="23"/>
      <c r="AF30" s="15"/>
      <c r="AG30" s="15"/>
      <c r="AH30" s="6"/>
      <c r="AI30" s="7"/>
      <c r="AJ30" s="10"/>
      <c r="AK30" s="10"/>
    </row>
    <row r="31" spans="1:37">
      <c r="A31" s="2">
        <v>0.875</v>
      </c>
      <c r="B31" s="2">
        <v>0.89583333333333404</v>
      </c>
      <c r="C31" s="6" t="s">
        <v>4</v>
      </c>
      <c r="D31" s="6"/>
      <c r="E31" s="6"/>
      <c r="F31" s="5" t="s">
        <v>92</v>
      </c>
      <c r="G31" s="6"/>
      <c r="H31" s="12"/>
      <c r="I31" s="6" t="s">
        <v>98</v>
      </c>
      <c r="J31" s="6"/>
      <c r="K31" s="6"/>
      <c r="L31" s="6"/>
      <c r="M31" s="5"/>
      <c r="N31" s="11" t="s">
        <v>124</v>
      </c>
      <c r="O31" s="11"/>
      <c r="P31" s="11" t="s">
        <v>122</v>
      </c>
      <c r="Q31" s="11" t="s">
        <v>129</v>
      </c>
      <c r="R31" s="14"/>
      <c r="S31" s="14" t="s">
        <v>99</v>
      </c>
      <c r="T31" s="16" t="s">
        <v>102</v>
      </c>
      <c r="U31" s="11"/>
      <c r="V31" s="11" t="s">
        <v>126</v>
      </c>
      <c r="W31" s="11" t="s">
        <v>128</v>
      </c>
      <c r="X31" s="11"/>
      <c r="Y31" s="11"/>
      <c r="Z31" s="14" t="s">
        <v>100</v>
      </c>
      <c r="AA31" s="14"/>
      <c r="AB31" s="11"/>
      <c r="AC31" s="14" t="s">
        <v>101</v>
      </c>
      <c r="AD31" s="19" t="s">
        <v>103</v>
      </c>
      <c r="AE31" s="5" t="s">
        <v>132</v>
      </c>
      <c r="AF31" s="6" t="s">
        <v>133</v>
      </c>
      <c r="AG31" s="6" t="s">
        <v>139</v>
      </c>
      <c r="AH31" s="14" t="s">
        <v>107</v>
      </c>
      <c r="AI31" s="14" t="s">
        <v>135</v>
      </c>
      <c r="AJ31" s="6" t="s">
        <v>130</v>
      </c>
      <c r="AK31" s="6" t="s">
        <v>131</v>
      </c>
    </row>
    <row r="32" spans="1:37">
      <c r="A32" s="2">
        <v>0.89583333333333304</v>
      </c>
      <c r="B32" s="2">
        <v>0.91666666666666696</v>
      </c>
      <c r="C32" s="6"/>
      <c r="D32" s="6"/>
      <c r="E32" s="6"/>
      <c r="F32" s="5"/>
      <c r="G32" s="6"/>
      <c r="H32" s="12"/>
      <c r="I32" s="6"/>
      <c r="J32" s="6"/>
      <c r="K32" s="6"/>
      <c r="L32" s="6"/>
      <c r="M32" s="5"/>
      <c r="N32" s="11"/>
      <c r="O32" s="11"/>
      <c r="P32" s="11"/>
      <c r="Q32" s="11"/>
      <c r="R32" s="14"/>
      <c r="S32" s="14"/>
      <c r="T32" s="17"/>
      <c r="U32" s="11"/>
      <c r="V32" s="11"/>
      <c r="W32" s="11"/>
      <c r="X32" s="11"/>
      <c r="Y32" s="11"/>
      <c r="Z32" s="14"/>
      <c r="AA32" s="14"/>
      <c r="AB32" s="11"/>
      <c r="AC32" s="14"/>
      <c r="AD32" s="19"/>
      <c r="AE32" s="5"/>
      <c r="AF32" s="6"/>
      <c r="AG32" s="6"/>
      <c r="AH32" s="14"/>
      <c r="AI32" s="14"/>
      <c r="AJ32" s="6"/>
      <c r="AK32" s="6"/>
    </row>
    <row r="33" spans="1:37">
      <c r="A33" s="2">
        <v>0.91666666666666596</v>
      </c>
      <c r="B33" s="2">
        <v>0.937500000000001</v>
      </c>
      <c r="C33" s="6"/>
      <c r="D33" s="6"/>
      <c r="E33" s="6"/>
      <c r="F33" s="5"/>
      <c r="G33" s="6"/>
      <c r="H33" s="12"/>
      <c r="I33" s="6"/>
      <c r="J33" s="6"/>
      <c r="K33" s="6"/>
      <c r="L33" s="6"/>
      <c r="M33" s="5"/>
      <c r="N33" s="11"/>
      <c r="O33" s="11"/>
      <c r="P33" s="14" t="s">
        <v>104</v>
      </c>
      <c r="Q33" s="14" t="s">
        <v>105</v>
      </c>
      <c r="R33" s="11" t="s">
        <v>129</v>
      </c>
      <c r="S33" s="14"/>
      <c r="T33" s="17"/>
      <c r="U33" s="11"/>
      <c r="V33" s="11"/>
      <c r="W33" s="11"/>
      <c r="X33" s="11"/>
      <c r="Y33" s="11"/>
      <c r="Z33" s="14"/>
      <c r="AA33" s="11" t="s">
        <v>122</v>
      </c>
      <c r="AB33" s="11"/>
      <c r="AC33" s="14"/>
      <c r="AD33" s="19"/>
      <c r="AE33" s="5"/>
      <c r="AF33" s="6"/>
      <c r="AG33" s="6"/>
      <c r="AH33" s="14"/>
      <c r="AI33" s="14"/>
      <c r="AJ33" s="6"/>
      <c r="AK33" s="6"/>
    </row>
    <row r="34" spans="1:37">
      <c r="A34" s="2">
        <v>0.937499999999999</v>
      </c>
      <c r="B34" s="2">
        <v>0.95833333333333404</v>
      </c>
      <c r="C34" s="6"/>
      <c r="D34" s="6"/>
      <c r="E34" s="6"/>
      <c r="F34" s="5"/>
      <c r="G34" s="6"/>
      <c r="H34" s="12"/>
      <c r="I34" s="6"/>
      <c r="J34" s="6"/>
      <c r="K34" s="6"/>
      <c r="L34" s="6"/>
      <c r="M34" s="5"/>
      <c r="N34" s="11"/>
      <c r="O34" s="11"/>
      <c r="P34" s="14"/>
      <c r="Q34" s="14"/>
      <c r="R34" s="11"/>
      <c r="S34" s="14"/>
      <c r="T34" s="17"/>
      <c r="U34" s="11"/>
      <c r="V34" s="11"/>
      <c r="W34" s="11"/>
      <c r="X34" s="11"/>
      <c r="Y34" s="11"/>
      <c r="Z34" s="14"/>
      <c r="AA34" s="11"/>
      <c r="AB34" s="11"/>
      <c r="AC34" s="14"/>
      <c r="AD34" s="19"/>
      <c r="AE34" s="5"/>
      <c r="AF34" s="6"/>
      <c r="AG34" s="6"/>
      <c r="AH34" s="14"/>
      <c r="AI34" s="14"/>
      <c r="AJ34" s="6"/>
      <c r="AK34" s="6"/>
    </row>
    <row r="35" spans="1:37">
      <c r="A35" s="2">
        <v>0.95833333333333304</v>
      </c>
      <c r="B35" s="2">
        <v>0.97916666666666696</v>
      </c>
      <c r="C35" s="6"/>
      <c r="D35" s="6"/>
      <c r="E35" s="6"/>
      <c r="F35" s="5"/>
      <c r="G35" s="6"/>
      <c r="H35" s="12"/>
      <c r="I35" s="6"/>
      <c r="J35" s="6"/>
      <c r="K35" s="6"/>
      <c r="L35" s="6"/>
      <c r="M35" s="5"/>
      <c r="N35" s="11"/>
      <c r="O35" s="11"/>
      <c r="P35" s="14"/>
      <c r="Q35" s="14"/>
      <c r="R35" s="11"/>
      <c r="S35" s="14"/>
      <c r="T35" s="18"/>
      <c r="U35" s="11"/>
      <c r="V35" s="11"/>
      <c r="W35" s="11"/>
      <c r="X35" s="11"/>
      <c r="Y35" s="11"/>
      <c r="Z35" s="14"/>
      <c r="AA35" s="11"/>
      <c r="AB35" s="11"/>
      <c r="AC35" s="14"/>
      <c r="AD35" s="19"/>
      <c r="AE35" s="5"/>
      <c r="AF35" s="6"/>
      <c r="AG35" s="6"/>
      <c r="AH35" s="14"/>
      <c r="AI35" s="14"/>
      <c r="AJ35" s="6"/>
      <c r="AK35" s="6"/>
    </row>
    <row r="36" spans="1:37" ht="31.5">
      <c r="D36" s="3" t="s">
        <v>89</v>
      </c>
      <c r="E36" s="27" t="s">
        <v>142</v>
      </c>
      <c r="H36" s="27" t="s">
        <v>141</v>
      </c>
      <c r="I36" s="4" t="s">
        <v>87</v>
      </c>
      <c r="J36" s="27" t="s">
        <v>140</v>
      </c>
      <c r="K36" s="3" t="s">
        <v>88</v>
      </c>
      <c r="L36" s="4" t="s">
        <v>86</v>
      </c>
    </row>
  </sheetData>
  <mergeCells count="245">
    <mergeCell ref="N31:N35"/>
    <mergeCell ref="P31:P32"/>
    <mergeCell ref="V31:V35"/>
    <mergeCell ref="R33:R35"/>
    <mergeCell ref="Y29:Y35"/>
    <mergeCell ref="X29:X35"/>
    <mergeCell ref="O29:O35"/>
    <mergeCell ref="O11:O16"/>
    <mergeCell ref="R11:R16"/>
    <mergeCell ref="U11:U16"/>
    <mergeCell ref="X11:X16"/>
    <mergeCell ref="P14:P16"/>
    <mergeCell ref="T14:T16"/>
    <mergeCell ref="U17:U19"/>
    <mergeCell ref="X17:X19"/>
    <mergeCell ref="Y17:Y19"/>
    <mergeCell ref="Y11:Y16"/>
    <mergeCell ref="N27:N30"/>
    <mergeCell ref="P27:P30"/>
    <mergeCell ref="O23:O26"/>
    <mergeCell ref="R23:R26"/>
    <mergeCell ref="U23:U26"/>
    <mergeCell ref="X23:X26"/>
    <mergeCell ref="Y23:Y26"/>
    <mergeCell ref="R17:R19"/>
    <mergeCell ref="O17:O19"/>
    <mergeCell ref="P17:P22"/>
    <mergeCell ref="Q17:Q22"/>
    <mergeCell ref="U20:U22"/>
    <mergeCell ref="W14:W19"/>
    <mergeCell ref="Q31:Q32"/>
    <mergeCell ref="P23:P24"/>
    <mergeCell ref="Q23:Q24"/>
    <mergeCell ref="AA20:AA24"/>
    <mergeCell ref="W20:W24"/>
    <mergeCell ref="V20:V24"/>
    <mergeCell ref="X20:X22"/>
    <mergeCell ref="Y20:Y22"/>
    <mergeCell ref="R29:R32"/>
    <mergeCell ref="V27:V30"/>
    <mergeCell ref="W27:W30"/>
    <mergeCell ref="W31:W35"/>
    <mergeCell ref="AA27:AA32"/>
    <mergeCell ref="AA33:AA35"/>
    <mergeCell ref="U29:U35"/>
    <mergeCell ref="R20:R22"/>
    <mergeCell ref="U4:U10"/>
    <mergeCell ref="X4:X10"/>
    <mergeCell ref="Y4:Y10"/>
    <mergeCell ref="Z4:Z10"/>
    <mergeCell ref="AB4:AB10"/>
    <mergeCell ref="AC4:AC10"/>
    <mergeCell ref="AB23:AB26"/>
    <mergeCell ref="T23:T28"/>
    <mergeCell ref="Z14:Z16"/>
    <mergeCell ref="AC14:AC16"/>
    <mergeCell ref="S14:S16"/>
    <mergeCell ref="S17:S22"/>
    <mergeCell ref="T17:T22"/>
    <mergeCell ref="Z17:Z22"/>
    <mergeCell ref="AC17:AC22"/>
    <mergeCell ref="S23:S28"/>
    <mergeCell ref="M4:M13"/>
    <mergeCell ref="M17:M26"/>
    <mergeCell ref="M29:M35"/>
    <mergeCell ref="N14:N16"/>
    <mergeCell ref="Q14:Q16"/>
    <mergeCell ref="AJ23:AJ26"/>
    <mergeCell ref="AK23:AK26"/>
    <mergeCell ref="AK11:AK16"/>
    <mergeCell ref="AH17:AH22"/>
    <mergeCell ref="AI17:AI22"/>
    <mergeCell ref="P33:P35"/>
    <mergeCell ref="Q33:Q35"/>
    <mergeCell ref="AJ11:AJ16"/>
    <mergeCell ref="Z31:Z35"/>
    <mergeCell ref="AC31:AC35"/>
    <mergeCell ref="AD31:AD35"/>
    <mergeCell ref="AC23:AC28"/>
    <mergeCell ref="AA14:AA19"/>
    <mergeCell ref="V14:V19"/>
    <mergeCell ref="AD4:AD10"/>
    <mergeCell ref="S11:S13"/>
    <mergeCell ref="O20:O22"/>
    <mergeCell ref="N4:N10"/>
    <mergeCell ref="P4:P10"/>
    <mergeCell ref="Q4:Q10"/>
    <mergeCell ref="V4:V10"/>
    <mergeCell ref="W4:W10"/>
    <mergeCell ref="AA4:AA10"/>
    <mergeCell ref="R4:R10"/>
    <mergeCell ref="O4:O10"/>
    <mergeCell ref="S4:S10"/>
    <mergeCell ref="T4:T10"/>
    <mergeCell ref="H17:H22"/>
    <mergeCell ref="H23:H24"/>
    <mergeCell ref="H25:H26"/>
    <mergeCell ref="I11:I16"/>
    <mergeCell ref="I20:I22"/>
    <mergeCell ref="I23:I28"/>
    <mergeCell ref="I31:I35"/>
    <mergeCell ref="L11:L16"/>
    <mergeCell ref="L17:L19"/>
    <mergeCell ref="L20:L22"/>
    <mergeCell ref="L4:L10"/>
    <mergeCell ref="K29:K35"/>
    <mergeCell ref="J4:J10"/>
    <mergeCell ref="K17:K22"/>
    <mergeCell ref="G25:G26"/>
    <mergeCell ref="G4:G10"/>
    <mergeCell ref="G14:G24"/>
    <mergeCell ref="G27:G35"/>
    <mergeCell ref="G11:G13"/>
    <mergeCell ref="K4:K10"/>
    <mergeCell ref="H27:H28"/>
    <mergeCell ref="H14:H16"/>
    <mergeCell ref="H11:H13"/>
    <mergeCell ref="I4:I10"/>
    <mergeCell ref="J11:J13"/>
    <mergeCell ref="J14:J16"/>
    <mergeCell ref="J17:J22"/>
    <mergeCell ref="J23:J26"/>
    <mergeCell ref="H29:H35"/>
    <mergeCell ref="K23:K24"/>
    <mergeCell ref="K27:K28"/>
    <mergeCell ref="J27:J28"/>
    <mergeCell ref="J29:J35"/>
    <mergeCell ref="H4:H10"/>
    <mergeCell ref="E29:E35"/>
    <mergeCell ref="F4:F10"/>
    <mergeCell ref="F14:F28"/>
    <mergeCell ref="F31:F35"/>
    <mergeCell ref="C31:C35"/>
    <mergeCell ref="D4:D10"/>
    <mergeCell ref="D14:D24"/>
    <mergeCell ref="D27:D35"/>
    <mergeCell ref="E4:E13"/>
    <mergeCell ref="E17:E26"/>
    <mergeCell ref="F11:F13"/>
    <mergeCell ref="F29:F30"/>
    <mergeCell ref="C17:C19"/>
    <mergeCell ref="C29:C30"/>
    <mergeCell ref="D11:D13"/>
    <mergeCell ref="E14:E16"/>
    <mergeCell ref="D25:D26"/>
    <mergeCell ref="E27:E28"/>
    <mergeCell ref="C4:C16"/>
    <mergeCell ref="C20:C28"/>
    <mergeCell ref="Z11:Z13"/>
    <mergeCell ref="AA11:AA13"/>
    <mergeCell ref="AC11:AC13"/>
    <mergeCell ref="AD11:AD13"/>
    <mergeCell ref="AC29:AC30"/>
    <mergeCell ref="AD29:AD30"/>
    <mergeCell ref="AK17:AK19"/>
    <mergeCell ref="AK29:AK30"/>
    <mergeCell ref="AJ17:AJ19"/>
    <mergeCell ref="AJ29:AJ30"/>
    <mergeCell ref="AD17:AD22"/>
    <mergeCell ref="AD23:AD28"/>
    <mergeCell ref="Z23:Z28"/>
    <mergeCell ref="AD14:AD16"/>
    <mergeCell ref="AB29:AB35"/>
    <mergeCell ref="AG27:AG30"/>
    <mergeCell ref="AE27:AE30"/>
    <mergeCell ref="AF27:AF30"/>
    <mergeCell ref="AE20:AE24"/>
    <mergeCell ref="AF20:AF24"/>
    <mergeCell ref="AG20:AG24"/>
    <mergeCell ref="AB17:AB19"/>
    <mergeCell ref="AB20:AB22"/>
    <mergeCell ref="N17:N22"/>
    <mergeCell ref="N23:N24"/>
    <mergeCell ref="AI14:AI16"/>
    <mergeCell ref="AI27:AI28"/>
    <mergeCell ref="S29:S30"/>
    <mergeCell ref="T29:T30"/>
    <mergeCell ref="Z29:Z30"/>
    <mergeCell ref="X27:X28"/>
    <mergeCell ref="Y27:Y28"/>
    <mergeCell ref="AB27:AB28"/>
    <mergeCell ref="AH14:AH16"/>
    <mergeCell ref="AH27:AH28"/>
    <mergeCell ref="AB11:AB16"/>
    <mergeCell ref="AG25:AG26"/>
    <mergeCell ref="W25:W26"/>
    <mergeCell ref="U27:U28"/>
    <mergeCell ref="AF11:AF13"/>
    <mergeCell ref="AG11:AG13"/>
    <mergeCell ref="V25:V26"/>
    <mergeCell ref="AA25:AA26"/>
    <mergeCell ref="AE25:AE26"/>
    <mergeCell ref="AF25:AF26"/>
    <mergeCell ref="T11:T13"/>
    <mergeCell ref="V11:V13"/>
    <mergeCell ref="W11:W13"/>
    <mergeCell ref="N11:N13"/>
    <mergeCell ref="P11:P13"/>
    <mergeCell ref="Q11:Q13"/>
    <mergeCell ref="I29:I30"/>
    <mergeCell ref="K25:K26"/>
    <mergeCell ref="L27:L28"/>
    <mergeCell ref="K11:K13"/>
    <mergeCell ref="K14:K16"/>
    <mergeCell ref="M14:M16"/>
    <mergeCell ref="M27:M28"/>
    <mergeCell ref="I17:I19"/>
    <mergeCell ref="L23:L26"/>
    <mergeCell ref="L29:L35"/>
    <mergeCell ref="Q27:Q30"/>
    <mergeCell ref="S31:S35"/>
    <mergeCell ref="T31:T35"/>
    <mergeCell ref="O27:O28"/>
    <mergeCell ref="R27:R28"/>
    <mergeCell ref="N25:N26"/>
    <mergeCell ref="P25:P26"/>
    <mergeCell ref="Q25:Q26"/>
    <mergeCell ref="AI4:AI13"/>
    <mergeCell ref="AJ4:AJ10"/>
    <mergeCell ref="AK4:AK10"/>
    <mergeCell ref="AJ20:AJ22"/>
    <mergeCell ref="AK20:AK22"/>
    <mergeCell ref="AH23:AH26"/>
    <mergeCell ref="AI23:AI26"/>
    <mergeCell ref="AF31:AF35"/>
    <mergeCell ref="AF4:AF7"/>
    <mergeCell ref="AG4:AG7"/>
    <mergeCell ref="AJ31:AJ35"/>
    <mergeCell ref="AK31:AK35"/>
    <mergeCell ref="AE14:AE19"/>
    <mergeCell ref="AF14:AF19"/>
    <mergeCell ref="AG14:AG19"/>
    <mergeCell ref="AI31:AI35"/>
    <mergeCell ref="AJ27:AJ28"/>
    <mergeCell ref="AK27:AK28"/>
    <mergeCell ref="AI29:AI30"/>
    <mergeCell ref="AF8:AF10"/>
    <mergeCell ref="AG8:AG10"/>
    <mergeCell ref="AH31:AH35"/>
    <mergeCell ref="AE31:AE35"/>
    <mergeCell ref="AG31:AG35"/>
    <mergeCell ref="AH29:AH30"/>
    <mergeCell ref="AH4:AH13"/>
    <mergeCell ref="AE11:AE13"/>
    <mergeCell ref="AE4:AE10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Staff List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CHEUNG Hoi-ying, Heidi, SE/FS4</dc:creator>
  <cp:lastModifiedBy>CHEUNG Hoi-ying, Heidi, SE/FS4</cp:lastModifiedBy>
  <dcterms:created xsi:type="dcterms:W3CDTF">2025-11-28T03:21:42Z</dcterms:created>
  <dcterms:modified xsi:type="dcterms:W3CDTF">2025-12-04T02:39:05Z</dcterms:modified>
</cp:coreProperties>
</file>